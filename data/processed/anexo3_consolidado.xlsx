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lexportillo/Documents/Proyectos Data Science/ucc-supervision/data/processed/"/>
    </mc:Choice>
  </mc:AlternateContent>
  <xr:revisionPtr revIDLastSave="0" documentId="13_ncr:1_{35CB142E-52BF-6843-8B95-3E85C29AE44F}" xr6:coauthVersionLast="47" xr6:coauthVersionMax="47" xr10:uidLastSave="{00000000-0000-0000-0000-000000000000}"/>
  <bookViews>
    <workbookView xWindow="140" yWindow="660" windowWidth="28480" windowHeight="15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3" i="1" l="1"/>
  <c r="AW4" i="1"/>
  <c r="AW2" i="1"/>
  <c r="AV3" i="1"/>
  <c r="AV4" i="1"/>
  <c r="AV2" i="1"/>
  <c r="AU3" i="1"/>
  <c r="AU4" i="1"/>
  <c r="AU2" i="1"/>
  <c r="AT3" i="1"/>
  <c r="AT4" i="1"/>
  <c r="AT2" i="1"/>
</calcChain>
</file>

<file path=xl/sharedStrings.xml><?xml version="1.0" encoding="utf-8"?>
<sst xmlns="http://schemas.openxmlformats.org/spreadsheetml/2006/main" count="94" uniqueCount="80">
  <si>
    <t>LA LIBERTAD</t>
  </si>
  <si>
    <t>PIURA</t>
  </si>
  <si>
    <t>APURIMAC</t>
  </si>
  <si>
    <t>5A, 5B</t>
  </si>
  <si>
    <t>4A</t>
  </si>
  <si>
    <t>AÑO</t>
  </si>
  <si>
    <t>MES</t>
  </si>
  <si>
    <t>REGION</t>
  </si>
  <si>
    <t>UNIDAD_TERRITORIAL</t>
  </si>
  <si>
    <t>DISTRITO</t>
  </si>
  <si>
    <t>SUPERVISOR</t>
  </si>
  <si>
    <t>FECHA_SUPERVISIÓN</t>
  </si>
  <si>
    <t>OTUZCO</t>
  </si>
  <si>
    <t>CINTHIA ARANDA</t>
  </si>
  <si>
    <t>MONICA VERASTEGUI</t>
  </si>
  <si>
    <t>15/10/2025</t>
  </si>
  <si>
    <t>TAMBURCO</t>
  </si>
  <si>
    <t>16/10/2025</t>
  </si>
  <si>
    <t>MONTE SULLON</t>
  </si>
  <si>
    <t>SESION_OBS</t>
  </si>
  <si>
    <t>DANNY MUÑIZ GARCÍA</t>
  </si>
  <si>
    <t>GANDY MENDOZA</t>
  </si>
  <si>
    <t>MIGUEL ARROYO</t>
  </si>
  <si>
    <t>ITEM_1</t>
  </si>
  <si>
    <t>ITEM_2</t>
  </si>
  <si>
    <t>ITEM_3</t>
  </si>
  <si>
    <t>ITEM_4</t>
  </si>
  <si>
    <t>ITEM_5</t>
  </si>
  <si>
    <t>ITEM_6</t>
  </si>
  <si>
    <t>FACILITADOR_LOCAL</t>
  </si>
  <si>
    <t>PROFESION_FACILITADOR</t>
  </si>
  <si>
    <t>PROFESION1</t>
  </si>
  <si>
    <t>PROFESION2</t>
  </si>
  <si>
    <t>PROFESION3</t>
  </si>
  <si>
    <t>GEL</t>
  </si>
  <si>
    <t>NOMBRE1</t>
  </si>
  <si>
    <t>NOMBRE2</t>
  </si>
  <si>
    <t>NOMBRE3</t>
  </si>
  <si>
    <t>ALTO DESEMPEÑO</t>
  </si>
  <si>
    <t>DESEMPEÑO MEDIO</t>
  </si>
  <si>
    <t>EVALUACION_GEL</t>
  </si>
  <si>
    <t>PORCENTAJE_GEL</t>
  </si>
  <si>
    <t>SUMA_TOTAL_GEL</t>
  </si>
  <si>
    <t>ITEMS_NA_GEL</t>
  </si>
  <si>
    <t>CTZ</t>
  </si>
  <si>
    <t>ITEMS_VALIDO_GEL</t>
  </si>
  <si>
    <t>ITEMS_VALIDO_CTZ</t>
  </si>
  <si>
    <t>ITEMS_NA_CTZ</t>
  </si>
  <si>
    <t>SUMA_TOTAL_CTZ</t>
  </si>
  <si>
    <t>PORCENTAJE_CTZ</t>
  </si>
  <si>
    <t>EVALUACION_CTZ</t>
  </si>
  <si>
    <t>GESTIÓN EN DESARROLLO</t>
  </si>
  <si>
    <t>GESTIÓN ESTRATÉGICA Y ARTICULADOR</t>
  </si>
  <si>
    <t>ITEM_7</t>
  </si>
  <si>
    <t>ITEM_8</t>
  </si>
  <si>
    <t>ITEM_9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</si>
  <si>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</si>
  <si>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</si>
  <si>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</si>
  <si>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</si>
  <si>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</si>
  <si>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</si>
  <si>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</si>
  <si>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</si>
  <si>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INSTITUCION</t>
  </si>
  <si>
    <t>INSTITUCION1</t>
  </si>
  <si>
    <t>INSTITUCION2</t>
  </si>
  <si>
    <t>INSTITUCION3</t>
  </si>
  <si>
    <t>YELITZA RAMOS</t>
  </si>
  <si>
    <t>ITEMS_VALIDO_TOTAL</t>
  </si>
  <si>
    <t>ITEMS_NA_TOTAL</t>
  </si>
  <si>
    <t>SUMA_TOTAL</t>
  </si>
  <si>
    <t>PORCENTAJE_TOTAL</t>
  </si>
  <si>
    <t>EVALUACION_TOTAL</t>
  </si>
  <si>
    <t>BUENO</t>
  </si>
  <si>
    <t>ITEMS_VALIDO_FAC</t>
  </si>
  <si>
    <t>ITEMS_NA_FAC</t>
  </si>
  <si>
    <t>SUMA_TOTAL_FAC</t>
  </si>
  <si>
    <t>PORCENTAJE_FAC</t>
  </si>
  <si>
    <t>EVALUACION_FAC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</si>
</sst>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"/>
  <sheetViews>
    <sheetView tabSelected="1" topLeftCell="Y1" workbookViewId="0">
      <selection activeCell="AS1" sqref="AS1"/>
    </sheetView>
  </sheetViews>
  <sheetFormatPr baseColWidth="10" defaultColWidth="8.83203125" defaultRowHeight="15" x14ac:dyDescent="0.2"/>
  <cols>
    <col min="1" max="3" width="8.83203125" style="1" customWidth="1"/>
    <col min="4" max="6" width="8.83203125" style="1"/>
    <col min="7" max="7" width="10.5" style="1" bestFit="1" customWidth="1"/>
    <col min="8" max="16384" width="8.83203125" style="1"/>
  </cols>
  <sheetData>
    <row r="1" spans="1:5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29</v>
      </c>
      <c r="I1" s="4" t="s">
        <v>30</v>
      </c>
      <c r="J1" s="4" t="s">
        <v>64</v>
      </c>
      <c r="K1" s="4" t="s">
        <v>34</v>
      </c>
      <c r="L1" s="4" t="s">
        <v>44</v>
      </c>
      <c r="M1" s="4" t="s">
        <v>19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4" t="s">
        <v>28</v>
      </c>
      <c r="T1" s="4" t="s">
        <v>45</v>
      </c>
      <c r="U1" s="4" t="s">
        <v>43</v>
      </c>
      <c r="V1" s="4" t="s">
        <v>42</v>
      </c>
      <c r="W1" s="4" t="s">
        <v>41</v>
      </c>
      <c r="X1" s="4" t="s">
        <v>40</v>
      </c>
      <c r="Y1" s="4" t="s">
        <v>53</v>
      </c>
      <c r="Z1" s="4" t="s">
        <v>54</v>
      </c>
      <c r="AA1" s="4" t="s">
        <v>55</v>
      </c>
      <c r="AB1" s="4" t="s">
        <v>56</v>
      </c>
      <c r="AC1" s="4" t="s">
        <v>57</v>
      </c>
      <c r="AD1" s="4" t="s">
        <v>58</v>
      </c>
      <c r="AE1" s="4" t="s">
        <v>75</v>
      </c>
      <c r="AF1" s="4" t="s">
        <v>76</v>
      </c>
      <c r="AG1" s="4" t="s">
        <v>77</v>
      </c>
      <c r="AH1" s="4" t="s">
        <v>78</v>
      </c>
      <c r="AI1" s="4" t="s">
        <v>79</v>
      </c>
      <c r="AJ1" s="4" t="s">
        <v>59</v>
      </c>
      <c r="AK1" s="4" t="s">
        <v>60</v>
      </c>
      <c r="AL1" s="4" t="s">
        <v>61</v>
      </c>
      <c r="AM1" s="4" t="s">
        <v>62</v>
      </c>
      <c r="AN1" s="4" t="s">
        <v>63</v>
      </c>
      <c r="AO1" s="4" t="s">
        <v>46</v>
      </c>
      <c r="AP1" s="4" t="s">
        <v>47</v>
      </c>
      <c r="AQ1" s="4" t="s">
        <v>48</v>
      </c>
      <c r="AR1" s="4" t="s">
        <v>49</v>
      </c>
      <c r="AS1" s="4" t="s">
        <v>50</v>
      </c>
      <c r="AT1" s="4" t="s">
        <v>69</v>
      </c>
      <c r="AU1" s="4" t="s">
        <v>70</v>
      </c>
      <c r="AV1" s="4" t="s">
        <v>71</v>
      </c>
      <c r="AW1" s="4" t="s">
        <v>72</v>
      </c>
      <c r="AX1" s="4" t="s">
        <v>73</v>
      </c>
    </row>
    <row r="2" spans="1:50" x14ac:dyDescent="0.2">
      <c r="A2" s="1">
        <v>2025</v>
      </c>
      <c r="B2" s="1">
        <v>10</v>
      </c>
      <c r="C2" s="1" t="s">
        <v>0</v>
      </c>
      <c r="D2" s="1" t="s">
        <v>0</v>
      </c>
      <c r="E2" s="1" t="s">
        <v>12</v>
      </c>
      <c r="F2" s="1" t="s">
        <v>13</v>
      </c>
      <c r="G2" s="2">
        <v>45946</v>
      </c>
      <c r="H2" s="1" t="s">
        <v>20</v>
      </c>
      <c r="I2" s="1" t="s">
        <v>31</v>
      </c>
      <c r="J2" s="1" t="s">
        <v>65</v>
      </c>
      <c r="K2" s="1" t="s">
        <v>35</v>
      </c>
      <c r="L2" s="2" t="s">
        <v>35</v>
      </c>
      <c r="M2" s="1" t="s">
        <v>3</v>
      </c>
      <c r="N2" s="1">
        <v>2</v>
      </c>
      <c r="O2" s="1">
        <v>2</v>
      </c>
      <c r="P2" s="1">
        <v>1</v>
      </c>
      <c r="Q2" s="1">
        <v>0</v>
      </c>
      <c r="R2" s="1">
        <v>1</v>
      </c>
      <c r="S2" s="1">
        <v>0</v>
      </c>
      <c r="T2" s="1">
        <v>6</v>
      </c>
      <c r="U2" s="1">
        <v>0</v>
      </c>
      <c r="V2" s="1">
        <v>6</v>
      </c>
      <c r="W2" s="1">
        <v>0.5</v>
      </c>
      <c r="X2" s="1" t="s">
        <v>39</v>
      </c>
      <c r="Y2" s="1">
        <v>2</v>
      </c>
      <c r="Z2" s="1">
        <v>2</v>
      </c>
      <c r="AA2" s="1">
        <v>2</v>
      </c>
      <c r="AB2" s="1">
        <v>2</v>
      </c>
      <c r="AC2" s="1">
        <v>1</v>
      </c>
      <c r="AD2" s="1">
        <v>2</v>
      </c>
      <c r="AE2" s="1">
        <v>6</v>
      </c>
      <c r="AF2" s="1">
        <v>0</v>
      </c>
      <c r="AG2" s="1">
        <v>11</v>
      </c>
      <c r="AH2" s="1">
        <v>0.91666666666666663</v>
      </c>
      <c r="AI2" s="1" t="s">
        <v>38</v>
      </c>
      <c r="AJ2" s="1">
        <v>2</v>
      </c>
      <c r="AK2" s="1">
        <v>2</v>
      </c>
      <c r="AL2" s="1">
        <v>0</v>
      </c>
      <c r="AM2" s="1">
        <v>2</v>
      </c>
      <c r="AN2" s="1">
        <v>1</v>
      </c>
      <c r="AO2" s="1">
        <v>5</v>
      </c>
      <c r="AP2" s="1">
        <v>0</v>
      </c>
      <c r="AQ2" s="1">
        <v>7</v>
      </c>
      <c r="AR2" s="1">
        <v>0.7</v>
      </c>
      <c r="AS2" s="1" t="s">
        <v>51</v>
      </c>
      <c r="AT2" s="1">
        <f>T2+AE2+AO2</f>
        <v>17</v>
      </c>
      <c r="AU2" s="1">
        <f>U2+AF2+AP2</f>
        <v>0</v>
      </c>
      <c r="AV2" s="1">
        <f>V2+AG2+AQ2</f>
        <v>24</v>
      </c>
      <c r="AW2" s="1">
        <f>AV2/34</f>
        <v>0.70588235294117652</v>
      </c>
      <c r="AX2" s="1" t="s">
        <v>74</v>
      </c>
    </row>
    <row r="3" spans="1:50" x14ac:dyDescent="0.2">
      <c r="A3" s="1">
        <v>2025</v>
      </c>
      <c r="B3" s="1">
        <v>10</v>
      </c>
      <c r="C3" s="1" t="s">
        <v>1</v>
      </c>
      <c r="D3" s="1" t="s">
        <v>1</v>
      </c>
      <c r="E3" s="1" t="s">
        <v>18</v>
      </c>
      <c r="F3" s="1" t="s">
        <v>14</v>
      </c>
      <c r="G3" s="3" t="s">
        <v>15</v>
      </c>
      <c r="H3" s="1" t="s">
        <v>21</v>
      </c>
      <c r="I3" s="1" t="s">
        <v>32</v>
      </c>
      <c r="J3" s="1" t="s">
        <v>66</v>
      </c>
      <c r="K3" s="1" t="s">
        <v>36</v>
      </c>
      <c r="L3" s="3" t="s">
        <v>36</v>
      </c>
      <c r="M3" s="1" t="s">
        <v>4</v>
      </c>
      <c r="N3" s="1">
        <v>2</v>
      </c>
      <c r="O3" s="1">
        <v>2</v>
      </c>
      <c r="P3" s="1">
        <v>0</v>
      </c>
      <c r="Q3" s="1">
        <v>0</v>
      </c>
      <c r="R3" s="1">
        <v>2</v>
      </c>
      <c r="S3" s="1">
        <v>1</v>
      </c>
      <c r="T3" s="1">
        <v>6</v>
      </c>
      <c r="U3" s="1">
        <v>0</v>
      </c>
      <c r="V3" s="1">
        <v>7</v>
      </c>
      <c r="W3" s="1">
        <v>0.58333333333333337</v>
      </c>
      <c r="X3" s="1" t="s">
        <v>39</v>
      </c>
      <c r="Y3" s="1">
        <v>2</v>
      </c>
      <c r="Z3" s="1">
        <v>2</v>
      </c>
      <c r="AA3" s="1">
        <v>0</v>
      </c>
      <c r="AB3" s="1">
        <v>0</v>
      </c>
      <c r="AC3" s="1">
        <v>2</v>
      </c>
      <c r="AD3" s="1">
        <v>1</v>
      </c>
      <c r="AE3" s="1">
        <v>6</v>
      </c>
      <c r="AF3" s="1">
        <v>0</v>
      </c>
      <c r="AG3" s="1">
        <v>7</v>
      </c>
      <c r="AH3" s="1">
        <v>0.58333333333333337</v>
      </c>
      <c r="AI3" s="1" t="s">
        <v>39</v>
      </c>
      <c r="AJ3" s="1">
        <v>1</v>
      </c>
      <c r="AK3" s="1">
        <v>1</v>
      </c>
      <c r="AL3" s="1">
        <v>2</v>
      </c>
      <c r="AM3" s="1">
        <v>2</v>
      </c>
      <c r="AN3" s="1">
        <v>2</v>
      </c>
      <c r="AO3" s="1">
        <v>5</v>
      </c>
      <c r="AP3" s="1">
        <v>0</v>
      </c>
      <c r="AQ3" s="1">
        <v>8</v>
      </c>
      <c r="AR3" s="1">
        <v>0.8</v>
      </c>
      <c r="AS3" s="1" t="s">
        <v>52</v>
      </c>
      <c r="AT3" s="1">
        <f t="shared" ref="AT3:AT4" si="0">T3+AE3+AO3</f>
        <v>17</v>
      </c>
      <c r="AU3" s="1">
        <f t="shared" ref="AU3:AU4" si="1">U3+AF3+AP3</f>
        <v>0</v>
      </c>
      <c r="AV3" s="1">
        <f t="shared" ref="AV3:AV4" si="2">V3+AG3+AQ3</f>
        <v>22</v>
      </c>
      <c r="AW3" s="1">
        <f t="shared" ref="AW3:AW4" si="3">AV3/34</f>
        <v>0.6470588235294118</v>
      </c>
      <c r="AX3" s="1" t="s">
        <v>74</v>
      </c>
    </row>
    <row r="4" spans="1:50" x14ac:dyDescent="0.2">
      <c r="A4" s="1">
        <v>2025</v>
      </c>
      <c r="B4" s="1">
        <v>10</v>
      </c>
      <c r="C4" s="1" t="s">
        <v>2</v>
      </c>
      <c r="D4" s="1" t="s">
        <v>2</v>
      </c>
      <c r="E4" s="1" t="s">
        <v>16</v>
      </c>
      <c r="F4" s="1" t="s">
        <v>68</v>
      </c>
      <c r="G4" s="3" t="s">
        <v>17</v>
      </c>
      <c r="H4" s="1" t="s">
        <v>22</v>
      </c>
      <c r="I4" s="1" t="s">
        <v>33</v>
      </c>
      <c r="J4" s="1" t="s">
        <v>67</v>
      </c>
      <c r="K4" s="1" t="s">
        <v>37</v>
      </c>
      <c r="L4" s="3" t="s">
        <v>37</v>
      </c>
      <c r="M4" s="1" t="s">
        <v>3</v>
      </c>
      <c r="N4" s="1">
        <v>2</v>
      </c>
      <c r="O4" s="1">
        <v>2</v>
      </c>
      <c r="P4" s="1">
        <v>1</v>
      </c>
      <c r="Q4" s="1">
        <v>0</v>
      </c>
      <c r="R4" s="1">
        <v>2</v>
      </c>
      <c r="S4" s="1">
        <v>2</v>
      </c>
      <c r="T4" s="1">
        <v>6</v>
      </c>
      <c r="U4" s="1">
        <v>0</v>
      </c>
      <c r="V4" s="1">
        <v>9</v>
      </c>
      <c r="W4" s="1">
        <v>0.75</v>
      </c>
      <c r="X4" s="1" t="s">
        <v>38</v>
      </c>
      <c r="Y4" s="1">
        <v>2</v>
      </c>
      <c r="Z4" s="1">
        <v>2</v>
      </c>
      <c r="AA4" s="1">
        <v>2</v>
      </c>
      <c r="AB4" s="1">
        <v>2</v>
      </c>
      <c r="AC4" s="1">
        <v>1</v>
      </c>
      <c r="AD4" s="1">
        <v>2</v>
      </c>
      <c r="AE4" s="1">
        <v>6</v>
      </c>
      <c r="AF4" s="1">
        <v>0</v>
      </c>
      <c r="AG4" s="1">
        <v>11</v>
      </c>
      <c r="AH4" s="1">
        <v>0.91666666666666663</v>
      </c>
      <c r="AI4" s="1" t="s">
        <v>38</v>
      </c>
      <c r="AJ4" s="1">
        <v>2</v>
      </c>
      <c r="AK4" s="1">
        <v>2</v>
      </c>
      <c r="AL4" s="1">
        <v>0</v>
      </c>
      <c r="AM4" s="1">
        <v>0</v>
      </c>
      <c r="AN4" s="1">
        <v>0</v>
      </c>
      <c r="AO4" s="1">
        <v>5</v>
      </c>
      <c r="AP4" s="1">
        <v>0</v>
      </c>
      <c r="AQ4" s="1">
        <v>4</v>
      </c>
      <c r="AR4" s="1">
        <v>0.4</v>
      </c>
      <c r="AS4" s="1" t="s">
        <v>51</v>
      </c>
      <c r="AT4" s="1">
        <f t="shared" si="0"/>
        <v>17</v>
      </c>
      <c r="AU4" s="1">
        <f t="shared" si="1"/>
        <v>0</v>
      </c>
      <c r="AV4" s="1">
        <f t="shared" si="2"/>
        <v>24</v>
      </c>
      <c r="AW4" s="1">
        <f t="shared" si="3"/>
        <v>0.70588235294117652</v>
      </c>
      <c r="AX4" s="1" t="s">
        <v>74</v>
      </c>
    </row>
    <row r="5" spans="1:50" x14ac:dyDescent="0.2">
      <c r="J5" s="5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Portillo Laupa</cp:lastModifiedBy>
  <dcterms:created xsi:type="dcterms:W3CDTF">2025-11-03T05:35:59Z</dcterms:created>
  <dcterms:modified xsi:type="dcterms:W3CDTF">2025-11-12T05:32:15Z</dcterms:modified>
</cp:coreProperties>
</file>