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ortillol\Downloads\archivos para proyecto supervision\processed\"/>
    </mc:Choice>
  </mc:AlternateContent>
  <xr:revisionPtr revIDLastSave="0" documentId="13_ncr:1_{3BB59F66-822A-4B9C-A29E-053CEE73E6C6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8" i="1" l="1"/>
  <c r="A37" i="1"/>
  <c r="B37" i="1"/>
  <c r="C37" i="1"/>
  <c r="D37" i="1"/>
  <c r="E37" i="1"/>
  <c r="F37" i="1"/>
  <c r="G37" i="1"/>
  <c r="K15" i="1"/>
  <c r="K16" i="1"/>
  <c r="K17" i="1"/>
  <c r="K18" i="1"/>
  <c r="K10" i="1"/>
  <c r="K11" i="1"/>
  <c r="K12" i="1"/>
  <c r="K13" i="1"/>
  <c r="K9" i="1"/>
  <c r="K14" i="1"/>
  <c r="L3" i="1"/>
  <c r="L5" i="1"/>
  <c r="L2" i="1"/>
  <c r="L7" i="1"/>
</calcChain>
</file>

<file path=xl/sharedStrings.xml><?xml version="1.0" encoding="utf-8"?>
<sst xmlns="http://schemas.openxmlformats.org/spreadsheetml/2006/main" count="169" uniqueCount="57">
  <si>
    <t>PUNTOS_CRITICOS</t>
  </si>
  <si>
    <t>ACUERDOS_MEJORA</t>
  </si>
  <si>
    <t>RESPONSABLE</t>
  </si>
  <si>
    <t>2025</t>
  </si>
  <si>
    <t>OCTUBRE</t>
  </si>
  <si>
    <t>LA LIBERTAD</t>
  </si>
  <si>
    <t>Participación de la inducción de las sesiones educativas con sus facilitadores, así como también preparación previa mediante su guion metodológico. De igual manera, registrar de manera oportuna al término o días previos al desarrollo de la sesión educativa el registro de los asistentes en el módulo de intervenciones colectiva.</t>
  </si>
  <si>
    <t>Permanente</t>
  </si>
  <si>
    <t>Por precisar</t>
  </si>
  <si>
    <t>Los distritos priorizados son Chugay y Huamachuco (concretar el lugar)</t>
  </si>
  <si>
    <t>PLAZO_DÍAS</t>
  </si>
  <si>
    <t>FECHA_LÍMITE</t>
  </si>
  <si>
    <t>CTZ</t>
  </si>
  <si>
    <t>GEL</t>
  </si>
  <si>
    <t>CTT, CTZ</t>
  </si>
  <si>
    <t>PIURA</t>
  </si>
  <si>
    <t>AÑO</t>
  </si>
  <si>
    <t>MES</t>
  </si>
  <si>
    <t>REGION</t>
  </si>
  <si>
    <t>UNIDAD_TERRITORIAL</t>
  </si>
  <si>
    <t>DISTRITO</t>
  </si>
  <si>
    <t>SUPERVISOR</t>
  </si>
  <si>
    <t>FECHA_SUPERVISIÓN</t>
  </si>
  <si>
    <t>OTUZCO</t>
  </si>
  <si>
    <t>CINTHIA ARANDA GONZALEZ</t>
  </si>
  <si>
    <t>CATACAOS</t>
  </si>
  <si>
    <t>MÓNICA VERÁSTEGUI SÁNCHEZ</t>
  </si>
  <si>
    <t>El porcentaje desarrollado del Monitoreo a las acciones de Acompañamiento al Hogar con gestión Territorial fue del 75% con calificación regular.</t>
  </si>
  <si>
    <t>Falta de registro en la plataforma de acciones colectivas del Proyecto Independencia Económica.</t>
  </si>
  <si>
    <t>Las acciones del rol del gestor local se calificaron como desempeño medio ( 5 a 8 puntos).</t>
  </si>
  <si>
    <t>Falta de registro en la Plataforma de acciones colectivas del Proyecto Vida adolescente.</t>
  </si>
  <si>
    <t>Gestor local no hace el registro de las alertas derivadas, por debil seguimiento del CTZ.</t>
  </si>
  <si>
    <t>Gestor local no sigue los pasos de la Visita Domiciliaria</t>
  </si>
  <si>
    <t>Gestor local no sigue la Guia de las sesiones educativas del acompañamiento diferenciado debido  a que no desarrolla la pastilla emocional luego de dar la bienvenida a las madres a la sesion. Ni revisa tareas a las madres.</t>
  </si>
  <si>
    <t>CTZ no presenta la estrategia del acompañamiento diferenciado a autoridades o en espacios de articulacion.</t>
  </si>
  <si>
    <t>CTZ no registra sus actividades de articulación con EESS e IE.</t>
  </si>
  <si>
    <t>Bajo porcentaje de adolescentes que acceden a servicios de Desarrollo de habilidades socio emocionales.</t>
  </si>
  <si>
    <t>Regularizar la participación de las capacitaciones de jóvenes y adultos en Gestión de Negocios y Empleabilidad y espacios de intercambio comercial, mediante la lista de asistencia, el acta y el registro fotográfico.</t>
  </si>
  <si>
    <t>Realizar acciones de fortalecimiento de capacidades a los gestores locales en el uso del rotafolio y en habilidades blandas para los mensajes de salud, en gabinete del 20 al 24 de octubre, por los CTZ´s. Y solicitar al especialista a cargo un breve resumen del uso adecuado.</t>
  </si>
  <si>
    <t>Registro de sesiones educativas: Habilidades Blandas, desarrollas entre junio y setiembre, se debe contar con actas, registro fotográfico y lista de asistencia.</t>
  </si>
  <si>
    <t>Se solicita contar con datos de paquete priorizado de paquete integral de salud para el adolescente en el padrón nominal.</t>
  </si>
  <si>
    <t>CTZ realizará el seguimiento a las alertas identificadas o confirmadas por gestores locales para su derivación y verificará que registren en el modulo de Alertas la derivacion y atencion.</t>
  </si>
  <si>
    <t>Gestor Local realizará el registro de la derivacion y atencion de la alerta.</t>
  </si>
  <si>
    <t>CTZ realizará permanentemente asistencia técnica sobre el Desarrollo de la Visita Domiciliaria.</t>
  </si>
  <si>
    <t>CTZ realizará supervision a gestor local realizando la visita domiciliaria.</t>
  </si>
  <si>
    <t>Gestor local seguira los pasos de la visita domiciliaria y registrará la VD u OT al final de esta, en el modulo de AFA.</t>
  </si>
  <si>
    <t>Especialista en acompañamiento diferenciado realizará asistencia tecnica a GL y CTZ sobre el Desarrollo de las sesiones educativas.</t>
  </si>
  <si>
    <t>Gestor local se guiara de la guia de sesiones para el Desarrollo de la sesion educativa.</t>
  </si>
  <si>
    <t>CTZ acompañará a las sesiones educativas y verificará que se brinde la pastilla emocional y se revisen las tareas de la sesión anterior.</t>
  </si>
  <si>
    <t>CTZ socializará la estrategia del acompañamiento diferenciado con autoridades para asegurar que en la última sesión vaya un representante del GL a formar la RED de lideresas.</t>
  </si>
  <si>
    <t>CTZ coordinará y articulará con los EESS e IE para el cierre de brechas, en paquete, niños con anemia, adolescentes sin matrícula, etc y lo registrará en el módulo de articulación, acciones colectivas según corresponda.</t>
  </si>
  <si>
    <t>CTT y CTZ coordinarán que  los adolescentes accedan a servicios de desarrollo de habilidades socio emocionales.</t>
  </si>
  <si>
    <t>CTT, CTZ , Especialista AFA</t>
  </si>
  <si>
    <t>CTZ, GEL</t>
  </si>
  <si>
    <t>JUT, CTT, CTZ</t>
  </si>
  <si>
    <t>ESPECIALISTA AF, CTT</t>
  </si>
  <si>
    <t>ESPECIALISTA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</si>
</sst>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="90" workbookViewId="0">
      <selection activeCell="H16" sqref="H16"/>
    </sheetView>
  </sheetViews>
  <sheetFormatPr baseColWidth="10" defaultColWidth="8.81640625" defaultRowHeight="14.5" x14ac:dyDescent="0.35"/>
  <cols>
    <col min="1" max="3" width="8.81640625" style="2"/>
    <col min="4" max="6" width="9.453125" style="2" customWidth="1"/>
    <col min="7" max="7" width="11.08984375" style="2" customWidth="1"/>
    <col min="8" max="8" width="30.81640625" style="2" customWidth="1"/>
    <col min="9" max="9" width="34" style="2" customWidth="1"/>
    <col min="10" max="11" width="8.81640625" style="2"/>
    <col min="12" max="12" width="10.453125" style="2" bestFit="1" customWidth="1"/>
    <col min="13" max="16384" width="8.81640625" style="2"/>
  </cols>
  <sheetData>
    <row r="1" spans="1:12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0</v>
      </c>
      <c r="I1" s="1" t="s">
        <v>1</v>
      </c>
      <c r="J1" s="1" t="s">
        <v>2</v>
      </c>
      <c r="K1" s="1" t="s">
        <v>10</v>
      </c>
      <c r="L1" s="1" t="s">
        <v>11</v>
      </c>
    </row>
    <row r="2" spans="1:12" x14ac:dyDescent="0.35">
      <c r="A2" s="2" t="s">
        <v>3</v>
      </c>
      <c r="B2" s="2" t="s">
        <v>4</v>
      </c>
      <c r="C2" s="2" t="s">
        <v>5</v>
      </c>
      <c r="D2" s="2" t="s">
        <v>5</v>
      </c>
      <c r="E2" s="2" t="s">
        <v>23</v>
      </c>
      <c r="F2" s="2" t="s">
        <v>24</v>
      </c>
      <c r="G2" s="3">
        <v>45946</v>
      </c>
      <c r="H2" s="2" t="s">
        <v>28</v>
      </c>
      <c r="I2" s="2" t="s">
        <v>37</v>
      </c>
      <c r="J2" s="2" t="s">
        <v>14</v>
      </c>
      <c r="K2" s="2">
        <v>7</v>
      </c>
      <c r="L2" s="3">
        <f>G2+K2</f>
        <v>45953</v>
      </c>
    </row>
    <row r="3" spans="1:12" x14ac:dyDescent="0.35">
      <c r="A3" s="2" t="s">
        <v>3</v>
      </c>
      <c r="B3" s="2" t="s">
        <v>4</v>
      </c>
      <c r="C3" s="2" t="s">
        <v>5</v>
      </c>
      <c r="D3" s="2" t="s">
        <v>5</v>
      </c>
      <c r="E3" s="2" t="s">
        <v>23</v>
      </c>
      <c r="F3" s="2" t="s">
        <v>24</v>
      </c>
      <c r="G3" s="3">
        <v>45946</v>
      </c>
      <c r="H3" s="2" t="s">
        <v>27</v>
      </c>
      <c r="I3" s="2" t="s">
        <v>38</v>
      </c>
      <c r="J3" s="2" t="s">
        <v>52</v>
      </c>
      <c r="K3" s="2">
        <v>5</v>
      </c>
      <c r="L3" s="3">
        <f>G3+K3</f>
        <v>45951</v>
      </c>
    </row>
    <row r="4" spans="1:12" x14ac:dyDescent="0.35">
      <c r="A4" s="2" t="s">
        <v>3</v>
      </c>
      <c r="B4" s="2" t="s">
        <v>4</v>
      </c>
      <c r="C4" s="2" t="s">
        <v>5</v>
      </c>
      <c r="D4" s="2" t="s">
        <v>5</v>
      </c>
      <c r="E4" s="2" t="s">
        <v>23</v>
      </c>
      <c r="F4" s="2" t="s">
        <v>24</v>
      </c>
      <c r="G4" s="3">
        <v>45946</v>
      </c>
      <c r="H4" s="2" t="s">
        <v>29</v>
      </c>
      <c r="I4" s="2" t="s">
        <v>6</v>
      </c>
      <c r="J4" s="2" t="s">
        <v>53</v>
      </c>
      <c r="K4" s="2" t="s">
        <v>7</v>
      </c>
      <c r="L4" s="3" t="s">
        <v>7</v>
      </c>
    </row>
    <row r="5" spans="1:12" x14ac:dyDescent="0.35">
      <c r="A5" s="2" t="s">
        <v>3</v>
      </c>
      <c r="B5" s="2" t="s">
        <v>4</v>
      </c>
      <c r="C5" s="2" t="s">
        <v>5</v>
      </c>
      <c r="D5" s="2" t="s">
        <v>5</v>
      </c>
      <c r="E5" s="2" t="s">
        <v>23</v>
      </c>
      <c r="F5" s="2" t="s">
        <v>24</v>
      </c>
      <c r="G5" s="3">
        <v>45946</v>
      </c>
      <c r="H5" s="2" t="s">
        <v>30</v>
      </c>
      <c r="I5" s="2" t="s">
        <v>39</v>
      </c>
      <c r="J5" s="2" t="s">
        <v>14</v>
      </c>
      <c r="K5" s="2">
        <v>7</v>
      </c>
      <c r="L5" s="3">
        <f>G5+K5</f>
        <v>45953</v>
      </c>
    </row>
    <row r="6" spans="1:12" x14ac:dyDescent="0.35">
      <c r="A6" s="2" t="s">
        <v>3</v>
      </c>
      <c r="B6" s="2" t="s">
        <v>4</v>
      </c>
      <c r="C6" s="2" t="s">
        <v>5</v>
      </c>
      <c r="D6" s="2" t="s">
        <v>5</v>
      </c>
      <c r="E6" s="2" t="s">
        <v>23</v>
      </c>
      <c r="F6" s="2" t="s">
        <v>24</v>
      </c>
      <c r="G6" s="3">
        <v>45946</v>
      </c>
      <c r="H6" s="2" t="s">
        <v>30</v>
      </c>
      <c r="I6" s="2" t="s">
        <v>40</v>
      </c>
      <c r="J6" s="2" t="s">
        <v>55</v>
      </c>
      <c r="K6" s="2" t="s">
        <v>8</v>
      </c>
      <c r="L6" s="3" t="s">
        <v>8</v>
      </c>
    </row>
    <row r="7" spans="1:12" x14ac:dyDescent="0.35">
      <c r="A7" s="2" t="s">
        <v>3</v>
      </c>
      <c r="B7" s="2" t="s">
        <v>4</v>
      </c>
      <c r="C7" s="2" t="s">
        <v>5</v>
      </c>
      <c r="D7" s="2" t="s">
        <v>5</v>
      </c>
      <c r="E7" s="2" t="s">
        <v>23</v>
      </c>
      <c r="F7" s="2" t="s">
        <v>24</v>
      </c>
      <c r="G7" s="3">
        <v>45946</v>
      </c>
      <c r="H7" s="2" t="s">
        <v>30</v>
      </c>
      <c r="I7" s="2" t="s">
        <v>9</v>
      </c>
      <c r="J7" s="2" t="s">
        <v>54</v>
      </c>
      <c r="K7" s="2">
        <v>7</v>
      </c>
      <c r="L7" s="3">
        <f>G7+K7</f>
        <v>45953</v>
      </c>
    </row>
    <row r="8" spans="1:12" x14ac:dyDescent="0.35">
      <c r="A8" t="s">
        <v>3</v>
      </c>
      <c r="B8" t="s">
        <v>4</v>
      </c>
      <c r="C8" t="s">
        <v>15</v>
      </c>
      <c r="D8" t="s">
        <v>15</v>
      </c>
      <c r="E8" t="s">
        <v>25</v>
      </c>
      <c r="F8" t="s">
        <v>26</v>
      </c>
      <c r="G8" s="3">
        <v>45946</v>
      </c>
      <c r="H8" s="2" t="s">
        <v>31</v>
      </c>
      <c r="I8" s="2" t="s">
        <v>41</v>
      </c>
      <c r="J8" s="2" t="s">
        <v>53</v>
      </c>
      <c r="K8" s="2">
        <f t="shared" ref="K7:K18" si="0">L8-G8</f>
        <v>39</v>
      </c>
      <c r="L8" s="3">
        <v>45985</v>
      </c>
    </row>
    <row r="9" spans="1:12" x14ac:dyDescent="0.35">
      <c r="A9" t="s">
        <v>3</v>
      </c>
      <c r="B9" t="s">
        <v>4</v>
      </c>
      <c r="C9" t="s">
        <v>15</v>
      </c>
      <c r="D9" t="s">
        <v>15</v>
      </c>
      <c r="E9" t="s">
        <v>25</v>
      </c>
      <c r="F9" t="s">
        <v>26</v>
      </c>
      <c r="G9" s="3">
        <v>45946</v>
      </c>
      <c r="H9" s="2" t="s">
        <v>31</v>
      </c>
      <c r="I9" s="2" t="s">
        <v>42</v>
      </c>
      <c r="J9" s="2" t="s">
        <v>13</v>
      </c>
      <c r="K9" s="2">
        <f t="shared" si="0"/>
        <v>39</v>
      </c>
      <c r="L9" s="3">
        <v>45985</v>
      </c>
    </row>
    <row r="10" spans="1:12" x14ac:dyDescent="0.35">
      <c r="A10" t="s">
        <v>3</v>
      </c>
      <c r="B10" t="s">
        <v>4</v>
      </c>
      <c r="C10" t="s">
        <v>15</v>
      </c>
      <c r="D10" t="s">
        <v>15</v>
      </c>
      <c r="E10" t="s">
        <v>25</v>
      </c>
      <c r="F10" t="s">
        <v>26</v>
      </c>
      <c r="G10" s="3">
        <v>45946</v>
      </c>
      <c r="H10" s="2" t="s">
        <v>32</v>
      </c>
      <c r="I10" s="2" t="s">
        <v>43</v>
      </c>
      <c r="J10" s="2" t="s">
        <v>12</v>
      </c>
      <c r="K10" s="2">
        <f t="shared" si="0"/>
        <v>39</v>
      </c>
      <c r="L10" s="3">
        <v>45985</v>
      </c>
    </row>
    <row r="11" spans="1:12" x14ac:dyDescent="0.35">
      <c r="A11" t="s">
        <v>3</v>
      </c>
      <c r="B11" t="s">
        <v>4</v>
      </c>
      <c r="C11" t="s">
        <v>15</v>
      </c>
      <c r="D11" t="s">
        <v>15</v>
      </c>
      <c r="E11" t="s">
        <v>25</v>
      </c>
      <c r="F11" t="s">
        <v>26</v>
      </c>
      <c r="G11" s="3">
        <v>45946</v>
      </c>
      <c r="H11" s="2" t="s">
        <v>32</v>
      </c>
      <c r="I11" s="2" t="s">
        <v>44</v>
      </c>
      <c r="J11" s="2" t="s">
        <v>12</v>
      </c>
      <c r="K11" s="2">
        <f t="shared" si="0"/>
        <v>39</v>
      </c>
      <c r="L11" s="3">
        <v>45985</v>
      </c>
    </row>
    <row r="12" spans="1:12" x14ac:dyDescent="0.35">
      <c r="A12" t="s">
        <v>3</v>
      </c>
      <c r="B12" t="s">
        <v>4</v>
      </c>
      <c r="C12" t="s">
        <v>15</v>
      </c>
      <c r="D12" t="s">
        <v>15</v>
      </c>
      <c r="E12" t="s">
        <v>25</v>
      </c>
      <c r="F12" t="s">
        <v>26</v>
      </c>
      <c r="G12" s="3">
        <v>45946</v>
      </c>
      <c r="H12" s="2" t="s">
        <v>32</v>
      </c>
      <c r="I12" s="2" t="s">
        <v>45</v>
      </c>
      <c r="J12" s="2" t="s">
        <v>13</v>
      </c>
      <c r="K12" s="2">
        <f t="shared" si="0"/>
        <v>39</v>
      </c>
      <c r="L12" s="3">
        <v>45985</v>
      </c>
    </row>
    <row r="13" spans="1:12" x14ac:dyDescent="0.35">
      <c r="A13" t="s">
        <v>3</v>
      </c>
      <c r="B13" t="s">
        <v>4</v>
      </c>
      <c r="C13" t="s">
        <v>15</v>
      </c>
      <c r="D13" t="s">
        <v>15</v>
      </c>
      <c r="E13" t="s">
        <v>25</v>
      </c>
      <c r="F13" t="s">
        <v>26</v>
      </c>
      <c r="G13" s="3">
        <v>45946</v>
      </c>
      <c r="H13" s="2" t="s">
        <v>33</v>
      </c>
      <c r="I13" s="2" t="s">
        <v>46</v>
      </c>
      <c r="J13" s="2" t="s">
        <v>56</v>
      </c>
      <c r="K13" s="2">
        <f t="shared" si="0"/>
        <v>6</v>
      </c>
      <c r="L13" s="3">
        <v>45952</v>
      </c>
    </row>
    <row r="14" spans="1:12" x14ac:dyDescent="0.35">
      <c r="A14" t="s">
        <v>3</v>
      </c>
      <c r="B14" t="s">
        <v>4</v>
      </c>
      <c r="C14" t="s">
        <v>15</v>
      </c>
      <c r="D14" t="s">
        <v>15</v>
      </c>
      <c r="E14" t="s">
        <v>25</v>
      </c>
      <c r="F14" t="s">
        <v>26</v>
      </c>
      <c r="G14" s="3">
        <v>45946</v>
      </c>
      <c r="H14" s="2" t="s">
        <v>33</v>
      </c>
      <c r="I14" s="2" t="s">
        <v>47</v>
      </c>
      <c r="J14" s="2" t="s">
        <v>13</v>
      </c>
      <c r="K14" s="2">
        <f t="shared" si="0"/>
        <v>6</v>
      </c>
      <c r="L14" s="3">
        <v>45952</v>
      </c>
    </row>
    <row r="15" spans="1:12" ht="15" thickBot="1" x14ac:dyDescent="0.4">
      <c r="A15" t="s">
        <v>3</v>
      </c>
      <c r="B15" t="s">
        <v>4</v>
      </c>
      <c r="C15" t="s">
        <v>15</v>
      </c>
      <c r="D15" t="s">
        <v>15</v>
      </c>
      <c r="E15" t="s">
        <v>25</v>
      </c>
      <c r="F15" t="s">
        <v>26</v>
      </c>
      <c r="G15" s="3">
        <v>45946</v>
      </c>
      <c r="H15" s="2" t="s">
        <v>33</v>
      </c>
      <c r="I15" s="2" t="s">
        <v>48</v>
      </c>
      <c r="J15" s="2" t="s">
        <v>12</v>
      </c>
      <c r="K15" s="2">
        <f t="shared" si="0"/>
        <v>40</v>
      </c>
      <c r="L15" s="3">
        <v>45986</v>
      </c>
    </row>
    <row r="16" spans="1:12" ht="15" thickBot="1" x14ac:dyDescent="0.4">
      <c r="A16" t="s">
        <v>3</v>
      </c>
      <c r="B16" t="s">
        <v>4</v>
      </c>
      <c r="C16" t="s">
        <v>15</v>
      </c>
      <c r="D16" t="s">
        <v>15</v>
      </c>
      <c r="E16" t="s">
        <v>25</v>
      </c>
      <c r="F16" t="s">
        <v>26</v>
      </c>
      <c r="G16" s="3">
        <v>45946</v>
      </c>
      <c r="H16" s="2" t="s">
        <v>34</v>
      </c>
      <c r="I16" s="4" t="s">
        <v>49</v>
      </c>
      <c r="J16" s="2" t="s">
        <v>12</v>
      </c>
      <c r="K16" s="2">
        <f t="shared" si="0"/>
        <v>40</v>
      </c>
      <c r="L16" s="3">
        <v>45986</v>
      </c>
    </row>
    <row r="17" spans="1:12" x14ac:dyDescent="0.35">
      <c r="A17" t="s">
        <v>3</v>
      </c>
      <c r="B17" t="s">
        <v>4</v>
      </c>
      <c r="C17" t="s">
        <v>15</v>
      </c>
      <c r="D17" t="s">
        <v>15</v>
      </c>
      <c r="E17" t="s">
        <v>25</v>
      </c>
      <c r="F17" t="s">
        <v>26</v>
      </c>
      <c r="G17" s="3">
        <v>45946</v>
      </c>
      <c r="H17" s="2" t="s">
        <v>35</v>
      </c>
      <c r="I17" s="2" t="s">
        <v>50</v>
      </c>
      <c r="J17" s="2" t="s">
        <v>12</v>
      </c>
      <c r="K17" s="2">
        <f t="shared" si="0"/>
        <v>40</v>
      </c>
      <c r="L17" s="3">
        <v>45986</v>
      </c>
    </row>
    <row r="18" spans="1:12" x14ac:dyDescent="0.35">
      <c r="A18" t="s">
        <v>3</v>
      </c>
      <c r="B18" t="s">
        <v>4</v>
      </c>
      <c r="C18" t="s">
        <v>15</v>
      </c>
      <c r="D18" t="s">
        <v>15</v>
      </c>
      <c r="E18" t="s">
        <v>25</v>
      </c>
      <c r="F18" t="s">
        <v>26</v>
      </c>
      <c r="G18" s="3">
        <v>45946</v>
      </c>
      <c r="H18" s="2" t="s">
        <v>36</v>
      </c>
      <c r="I18" s="2" t="s">
        <v>51</v>
      </c>
      <c r="J18" s="2" t="s">
        <v>14</v>
      </c>
      <c r="K18" s="2">
        <f t="shared" si="0"/>
        <v>40</v>
      </c>
      <c r="L18" s="3">
        <v>45986</v>
      </c>
    </row>
    <row r="19" spans="1:12" x14ac:dyDescent="0.35">
      <c r="G19" s="3"/>
      <c r="H19" s="5"/>
    </row>
    <row r="37" spans="1:7" x14ac:dyDescent="0.35">
      <c r="A37" s="2" t="str">
        <f>UPPER(A19)</f>
        <v/>
      </c>
      <c r="B37" s="2" t="str">
        <f t="shared" ref="B37:G37" si="1">UPPER(B19)</f>
        <v/>
      </c>
      <c r="C37" s="2" t="str">
        <f t="shared" si="1"/>
        <v/>
      </c>
      <c r="D37" s="2" t="str">
        <f t="shared" si="1"/>
        <v/>
      </c>
      <c r="E37" s="2" t="str">
        <f t="shared" si="1"/>
        <v/>
      </c>
      <c r="F37" s="2" t="str">
        <f t="shared" si="1"/>
        <v/>
      </c>
      <c r="G37" s="2" t="str">
        <f t="shared" si="1"/>
        <v/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MARIO PORTILLO LAUPA</cp:lastModifiedBy>
  <dcterms:created xsi:type="dcterms:W3CDTF">2025-11-03T07:21:45Z</dcterms:created>
  <dcterms:modified xsi:type="dcterms:W3CDTF">2025-11-03T19:42:27Z</dcterms:modified>
</cp:coreProperties>
</file>