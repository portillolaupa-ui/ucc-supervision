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lexportillo/Documents/Proyectos Data Science/ucc-supervision/formatos/"/>
    </mc:Choice>
  </mc:AlternateContent>
  <xr:revisionPtr revIDLastSave="0" documentId="8_{92B3158A-A7BE-7844-9685-F8C6B2658E51}" xr6:coauthVersionLast="47" xr6:coauthVersionMax="47" xr10:uidLastSave="{00000000-0000-0000-0000-000000000000}"/>
  <bookViews>
    <workbookView xWindow="140" yWindow="660" windowWidth="28480" windowHeight="15760" xr2:uid="{8298BBE4-DD7F-435E-A578-161A7F59C93C}"/>
  </bookViews>
  <sheets>
    <sheet name="1" sheetId="1" r:id="rId1"/>
  </sheets>
  <definedNames>
    <definedName name="_xlnm.Print_Area" localSheetId="0">'1'!$A$1:$G$36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E34" i="1"/>
  <c r="D35" i="1" s="1"/>
  <c r="F35" i="1" s="1"/>
</calcChain>
</file>

<file path=xl/sharedStrings.xml><?xml version="1.0" encoding="utf-8"?>
<sst xmlns="http://schemas.openxmlformats.org/spreadsheetml/2006/main" count="39" uniqueCount="39">
  <si>
    <t>Monitoreo a las acciones de Acompañamiento al Hogar con gestion Territorial</t>
  </si>
  <si>
    <t>Items de Acompañamiento al hogar</t>
  </si>
  <si>
    <t>CALIFICACIÓN : 
0. No cumple
1. En desarrollo
2. Si cumple 
* No Aplica (no se considera en calificación)</t>
  </si>
  <si>
    <t>N°</t>
  </si>
  <si>
    <t>AL CTZ</t>
  </si>
  <si>
    <t>NA</t>
  </si>
  <si>
    <t>Nombre CTZ(s)</t>
  </si>
  <si>
    <r>
      <t xml:space="preserve">La programación de actividades mensuales en AFA del gestor local guarda relación con la ejecución del acompañamiento al hogar. (último periodo)
</t>
    </r>
    <r>
      <rPr>
        <i/>
        <sz val="11"/>
        <color theme="1"/>
        <rFont val="Arial"/>
        <family val="2"/>
      </rPr>
      <t>En caso no coincida, cuenta con justificación en el informe de rendiciòn de gastos.</t>
    </r>
    <r>
      <rPr>
        <sz val="11"/>
        <color theme="1"/>
        <rFont val="Arial"/>
        <family val="2"/>
      </rPr>
      <t xml:space="preserve">
</t>
    </r>
    <r>
      <rPr>
        <i/>
        <sz val="11"/>
        <color theme="1"/>
        <rFont val="Arial"/>
        <family val="2"/>
      </rPr>
      <t>(Formato: PNADP-DE-SCG-F-004/Rev.4) (RDE Nº 076-2025-MIDIS/PNADP-DE)</t>
    </r>
  </si>
  <si>
    <t>Muestra los formatos o herramientas que hace uso durante la supervisión a los gestores locales (acompañamiento al hogar)</t>
  </si>
  <si>
    <t>Cuenta con evidencia de seguimiento o articulación en el territorio con instituciones competentes/espacios multisectoriales, para el cierre de brechas y gestión de alertas del último bimestre 
(reporte módulo articulación, acta, lista asistencia, correo)</t>
  </si>
  <si>
    <t xml:space="preserve">Cuenta con evidencia de haber realizado asistencia técnica a gestores locales de acuerdo a los nudos criticos identificados en la supervisión del último bimestre </t>
  </si>
  <si>
    <t>Cuenta con la evidencia del seguimiento y medidas correctivas aplicados tras la notificacion de los hallazgos de la supervision posterior desde sede central (opcional, verificar con especialistas)</t>
  </si>
  <si>
    <t>AL GESTOR LOCAL</t>
  </si>
  <si>
    <t>Nombre GL(s)</t>
  </si>
  <si>
    <t>Cuenta con programación de hogares priorizados para acompañamiento al hogar.(excel, foto, impreso o pdf)</t>
  </si>
  <si>
    <r>
      <t xml:space="preserve">Realiza gestión de alertas. En el módulo de alertas, todas las alertas identificadas/confirmadas (mayor  igual a 15 dias de antiguedad) se encuentran derivadas 
</t>
    </r>
    <r>
      <rPr>
        <b/>
        <sz val="11"/>
        <color theme="1"/>
        <rFont val="Arial"/>
        <family val="2"/>
      </rPr>
      <t>(si gestor no tiene ninguna alerta y es debidamente justificada corresponde NA)</t>
    </r>
  </si>
  <si>
    <t>Registra en el aplicativo de articulación la actividad desarrollada en un plazo no mayor a 24 horas posteriores a la actividad
Nota: si no hay conectividad, la actividad no aplica (se verificará hasta  de 7 días posterior a la actividad)</t>
  </si>
  <si>
    <t>POSTERIOR AL ACOMPAÑAMIENTO AL HOGAR priorizar hallazgo de la SP No presencial</t>
  </si>
  <si>
    <t>ENTREVISTA AL HOGAR (sin presencia del GL)</t>
  </si>
  <si>
    <t>¿El gestor local vino a visitarla a su domicilio en el último mes?
Nota: Considerar hogares al azar visitados en los últimos 15 dias *</t>
  </si>
  <si>
    <t>¿Recuerda el tema desarrollado en la última visita domiciliaria? 
Nota: El tema debe corresponder al MO</t>
  </si>
  <si>
    <t>¿Asumió algún compromiso en la última visita domiciliaria? Verificar la cartilla de compromiso u otro evidenciable</t>
  </si>
  <si>
    <t>DURANTE  EL ACOMPAÑAMIENTO AL HOGAR (promediar los resultados de las 2 o 3 VD supervizadas (hogares no visitados)</t>
  </si>
  <si>
    <t>Promueve la participación activa del padre u otro miembro de la familia si se encuentra en el hogar durante la visita domiciliaria.</t>
  </si>
  <si>
    <t>Confirma pre-alertas y/o identifica nuevas alertas en el hogar (Sobre el agua, IRA, EDA, violencia, matrícula, asistencia a clases, entre otras), según corresponda.</t>
  </si>
  <si>
    <t>Solicita y lee la tarjeta de atención prenatal de la gestante o la tarjeta CRED. Además solicita  DNI de la niña/niño, de corresponder.</t>
  </si>
  <si>
    <t>Solicita y verifica el consumo del hierro (frasco o sobre MMN, tabletas de hierro ), según corresponda.</t>
  </si>
  <si>
    <t xml:space="preserve">Recoje saberes previos mediante preguntas sobre el tema a brindar </t>
  </si>
  <si>
    <t>Brinda el tema según corresponda (la alerta o edad/ etapa de vida/total de MO en el hogar)</t>
  </si>
  <si>
    <t xml:space="preserve">Utiliza materiales educativos durante la visita domiciliaria (rotafolio) </t>
  </si>
  <si>
    <t xml:space="preserve">Verifica que la usuaria haya comprendido el tema  mediante preguntas </t>
  </si>
  <si>
    <t>Al finalizar la visita; promueve compromisos respecto al tema entregado o alerta identificada y utiliza la cartilla de compromisos del hogar o similar.</t>
  </si>
  <si>
    <t>Subtotal</t>
  </si>
  <si>
    <t>Total</t>
  </si>
  <si>
    <t xml:space="preserve">Resultado (22 PUNTOS= 100%)
DE 0 A 10 puntos 0 - 50%: DEFICIENTE
De 11 a 20 puntos 51 - 76%: REGULAR
De 21 a 30 puntos 1- 89%: BUENO
DE 31 a 40 punto  90 -  100 %:  EXCELENTE </t>
  </si>
  <si>
    <t>Responsable de la Supervisión</t>
  </si>
  <si>
    <t>Unidad Territorial</t>
  </si>
  <si>
    <t>Fecha de Supervisión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</si>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</sst>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  <font>
      <sz val="8"/>
      <color theme="1"/>
      <name val="Aptos Narrow"/>
    </font>
    <font>
      <b/>
      <sz val="14"/>
      <color theme="1"/>
      <name val="Aptos Narrow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Aptos Narrow"/>
      <family val="2"/>
    </font>
    <font>
      <sz val="10"/>
      <color theme="1" tint="4.9989318521683403E-2"/>
      <name val="Aptos Narrow"/>
      <family val="2"/>
    </font>
    <font>
      <sz val="11"/>
      <color rgb="FF000000"/>
      <name val="Arial"/>
      <family val="2"/>
    </font>
    <font>
      <sz val="10"/>
      <color rgb="FFFF0000"/>
      <name val="Aptos Narrow"/>
      <family val="2"/>
    </font>
    <font>
      <sz val="14"/>
      <color theme="1"/>
      <name val="Aptos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 tint="4.9989318521683403E-2"/>
      <name val="Arial"/>
      <family val="2"/>
    </font>
    <font>
      <sz val="10"/>
      <color rgb="FFFF0000"/>
      <name val="Arial"/>
      <family val="2"/>
    </font>
    <font>
      <sz val="10"/>
      <name val="Aptos Narrow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0" xfId="0" applyFont="1" applyFill="1"/>
    <xf numFmtId="0" fontId="1" fillId="0" borderId="0" xfId="0" applyFont="1"/>
    <xf numFmtId="0" fontId="4" fillId="2" borderId="0" xfId="0" applyFont="1" applyFill="1"/>
    <xf numFmtId="0" fontId="3" fillId="2" borderId="0" xfId="0" applyFont="1" applyFill="1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2" fillId="0" borderId="1" xfId="0" applyFont="1" applyBorder="1"/>
    <xf numFmtId="0" fontId="13" fillId="0" borderId="1" xfId="0" applyFont="1" applyBorder="1"/>
    <xf numFmtId="0" fontId="14" fillId="2" borderId="1" xfId="0" applyFont="1" applyFill="1" applyBorder="1" applyAlignment="1">
      <alignment horizontal="left" vertical="center" wrapText="1"/>
    </xf>
    <xf numFmtId="0" fontId="15" fillId="0" borderId="1" xfId="0" applyFont="1" applyBorder="1"/>
    <xf numFmtId="0" fontId="1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0" fontId="12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wrapText="1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3" fillId="2" borderId="0" xfId="0" applyNumberFormat="1" applyFont="1" applyFill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1" fillId="0" borderId="1" xfId="0" applyFont="1" applyBorder="1"/>
    <xf numFmtId="9" fontId="15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F33D-9EF3-48D2-B057-083F6A509BBE}">
  <sheetPr>
    <tabColor rgb="FFFF0000"/>
    <pageSetUpPr fitToPage="1"/>
  </sheetPr>
  <dimension ref="B1:P998"/>
  <sheetViews>
    <sheetView showGridLines="0" tabSelected="1" zoomScaleNormal="100" zoomScaleSheetLayoutView="80" workbookViewId="0">
      <selection activeCell="C11" sqref="C11"/>
    </sheetView>
  </sheetViews>
  <sheetFormatPr baseColWidth="10" defaultColWidth="12.5" defaultRowHeight="15" customHeight="1" x14ac:dyDescent="0.2"/>
  <cols>
    <col min="1" max="1" width="5" customWidth="1"/>
    <col min="2" max="2" width="25.33203125" style="29" bestFit="1" customWidth="1"/>
    <col min="3" max="3" width="107.6640625" customWidth="1"/>
    <col min="4" max="4" width="9.83203125" customWidth="1"/>
    <col min="5" max="5" width="9.6640625" customWidth="1"/>
    <col min="6" max="6" width="6.1640625" customWidth="1"/>
    <col min="7" max="7" width="4.6640625" customWidth="1"/>
    <col min="8" max="21" width="10.5" customWidth="1"/>
  </cols>
  <sheetData>
    <row r="1" spans="2:10" ht="16" x14ac:dyDescent="0.2">
      <c r="B1" s="38" t="s">
        <v>0</v>
      </c>
      <c r="C1" s="38"/>
      <c r="D1" s="38"/>
      <c r="E1" s="38"/>
      <c r="F1" s="38"/>
      <c r="G1" s="38"/>
    </row>
    <row r="2" spans="2:10" x14ac:dyDescent="0.2">
      <c r="B2" s="1" t="s">
        <v>36</v>
      </c>
      <c r="C2" s="1"/>
      <c r="D2" s="1" t="s">
        <v>38</v>
      </c>
      <c r="E2" s="1"/>
      <c r="F2" s="1"/>
      <c r="G2" s="2"/>
      <c r="I2" s="3"/>
      <c r="J2" s="3"/>
    </row>
    <row r="3" spans="2:10" ht="15" customHeight="1" x14ac:dyDescent="0.2">
      <c r="B3" s="4" t="s">
        <v>35</v>
      </c>
      <c r="C3" s="4"/>
      <c r="D3" s="2"/>
      <c r="E3" s="5"/>
      <c r="F3" s="1"/>
      <c r="G3" s="1"/>
      <c r="H3" s="6"/>
      <c r="I3" s="3"/>
      <c r="J3" s="7"/>
    </row>
    <row r="4" spans="2:10" ht="25.5" customHeight="1" x14ac:dyDescent="0.2">
      <c r="B4" s="4" t="s">
        <v>37</v>
      </c>
      <c r="C4" s="31"/>
      <c r="D4" s="2"/>
      <c r="E4" s="2"/>
      <c r="F4" s="2"/>
      <c r="G4" s="2"/>
    </row>
    <row r="5" spans="2:10" x14ac:dyDescent="0.2">
      <c r="B5" s="39" t="s">
        <v>1</v>
      </c>
      <c r="C5" s="39"/>
      <c r="D5" s="40" t="s">
        <v>2</v>
      </c>
      <c r="E5" s="41"/>
      <c r="F5" s="41"/>
      <c r="G5" s="41"/>
    </row>
    <row r="6" spans="2:10" ht="66.75" customHeight="1" x14ac:dyDescent="0.2">
      <c r="B6" s="39"/>
      <c r="C6" s="39"/>
      <c r="D6" s="41"/>
      <c r="E6" s="41"/>
      <c r="F6" s="41"/>
      <c r="G6" s="41"/>
    </row>
    <row r="7" spans="2:10" x14ac:dyDescent="0.2">
      <c r="B7" s="43" t="s">
        <v>3</v>
      </c>
      <c r="C7" s="8" t="s">
        <v>4</v>
      </c>
      <c r="D7" s="9">
        <v>0</v>
      </c>
      <c r="E7" s="9">
        <v>1</v>
      </c>
      <c r="F7" s="9">
        <v>2</v>
      </c>
      <c r="G7" s="9" t="s">
        <v>5</v>
      </c>
    </row>
    <row r="8" spans="2:10" x14ac:dyDescent="0.2">
      <c r="B8" s="44"/>
      <c r="C8" s="8" t="s">
        <v>6</v>
      </c>
      <c r="D8" s="42"/>
      <c r="E8" s="42"/>
      <c r="F8" s="42"/>
      <c r="G8" s="42"/>
    </row>
    <row r="9" spans="2:10" ht="72.75" customHeight="1" x14ac:dyDescent="0.2">
      <c r="B9" s="10">
        <v>1</v>
      </c>
      <c r="C9" s="11" t="s">
        <v>7</v>
      </c>
      <c r="D9" s="12"/>
      <c r="E9" s="13"/>
      <c r="F9" s="13"/>
      <c r="G9" s="12"/>
    </row>
    <row r="10" spans="2:10" ht="36" customHeight="1" x14ac:dyDescent="0.2">
      <c r="B10" s="10">
        <v>2</v>
      </c>
      <c r="C10" s="11" t="s">
        <v>8</v>
      </c>
      <c r="D10" s="12"/>
      <c r="E10" s="13"/>
      <c r="F10" s="13"/>
      <c r="G10" s="12"/>
    </row>
    <row r="11" spans="2:10" ht="54" customHeight="1" x14ac:dyDescent="0.2">
      <c r="B11" s="10">
        <v>3</v>
      </c>
      <c r="C11" s="11" t="s">
        <v>9</v>
      </c>
      <c r="D11" s="12"/>
      <c r="E11" s="13"/>
      <c r="F11" s="13"/>
      <c r="G11" s="12"/>
    </row>
    <row r="12" spans="2:10" ht="42" customHeight="1" x14ac:dyDescent="0.2">
      <c r="B12" s="10">
        <v>4</v>
      </c>
      <c r="C12" s="11" t="s">
        <v>10</v>
      </c>
      <c r="D12" s="12"/>
      <c r="E12" s="13"/>
      <c r="F12" s="13"/>
      <c r="G12" s="12"/>
    </row>
    <row r="13" spans="2:10" ht="49.5" customHeight="1" x14ac:dyDescent="0.25">
      <c r="B13" s="10">
        <v>5</v>
      </c>
      <c r="C13" s="14" t="s">
        <v>11</v>
      </c>
      <c r="D13" s="12"/>
      <c r="E13" s="15"/>
      <c r="F13" s="12"/>
      <c r="G13" s="16"/>
    </row>
    <row r="14" spans="2:10" x14ac:dyDescent="0.2">
      <c r="B14" s="32"/>
      <c r="C14" s="8" t="s">
        <v>12</v>
      </c>
      <c r="D14" s="34"/>
      <c r="E14" s="34"/>
      <c r="F14" s="34"/>
      <c r="G14" s="34"/>
    </row>
    <row r="15" spans="2:10" ht="24" customHeight="1" x14ac:dyDescent="0.2">
      <c r="B15" s="33"/>
      <c r="C15" s="8" t="s">
        <v>13</v>
      </c>
      <c r="D15" s="34"/>
      <c r="E15" s="34"/>
      <c r="F15" s="34"/>
      <c r="G15" s="34"/>
    </row>
    <row r="16" spans="2:10" ht="33" customHeight="1" x14ac:dyDescent="0.2">
      <c r="B16" s="10">
        <v>6</v>
      </c>
      <c r="C16" s="11" t="s">
        <v>14</v>
      </c>
      <c r="D16" s="12"/>
      <c r="E16" s="13"/>
      <c r="F16" s="17"/>
      <c r="G16" s="12"/>
    </row>
    <row r="17" spans="2:7" ht="61.5" customHeight="1" x14ac:dyDescent="0.2">
      <c r="B17" s="10">
        <v>7</v>
      </c>
      <c r="C17" s="11" t="s">
        <v>15</v>
      </c>
      <c r="D17" s="12"/>
      <c r="E17" s="15"/>
      <c r="F17" s="17"/>
      <c r="G17" s="12"/>
    </row>
    <row r="18" spans="2:7" ht="60.75" customHeight="1" x14ac:dyDescent="0.2">
      <c r="B18" s="10">
        <v>8</v>
      </c>
      <c r="C18" s="18" t="s">
        <v>16</v>
      </c>
      <c r="D18" s="12"/>
      <c r="E18" s="15"/>
      <c r="F18" s="17"/>
      <c r="G18" s="12"/>
    </row>
    <row r="19" spans="2:7" ht="27" customHeight="1" x14ac:dyDescent="0.2">
      <c r="B19" s="32"/>
      <c r="C19" s="19" t="s">
        <v>17</v>
      </c>
      <c r="D19" s="34"/>
      <c r="E19" s="34"/>
      <c r="F19" s="34"/>
      <c r="G19" s="34"/>
    </row>
    <row r="20" spans="2:7" ht="13.5" customHeight="1" x14ac:dyDescent="0.2">
      <c r="B20" s="33"/>
      <c r="C20" s="19" t="s">
        <v>18</v>
      </c>
      <c r="D20" s="12"/>
      <c r="E20" s="12"/>
      <c r="F20" s="12"/>
      <c r="G20" s="12"/>
    </row>
    <row r="21" spans="2:7" ht="35.25" customHeight="1" x14ac:dyDescent="0.2">
      <c r="B21" s="10">
        <v>9</v>
      </c>
      <c r="C21" s="20" t="s">
        <v>19</v>
      </c>
      <c r="D21" s="12"/>
      <c r="E21" s="17"/>
      <c r="F21" s="17"/>
      <c r="G21" s="12"/>
    </row>
    <row r="22" spans="2:7" ht="36.75" customHeight="1" x14ac:dyDescent="0.2">
      <c r="B22" s="10">
        <v>10</v>
      </c>
      <c r="C22" s="20" t="s">
        <v>20</v>
      </c>
      <c r="D22" s="12"/>
      <c r="E22" s="17"/>
      <c r="F22" s="17"/>
      <c r="G22" s="12"/>
    </row>
    <row r="23" spans="2:7" ht="34.5" customHeight="1" x14ac:dyDescent="0.2">
      <c r="B23" s="10">
        <v>11</v>
      </c>
      <c r="C23" s="20" t="s">
        <v>21</v>
      </c>
      <c r="D23" s="12"/>
      <c r="E23" s="17"/>
      <c r="F23" s="17"/>
      <c r="G23" s="12"/>
    </row>
    <row r="24" spans="2:7" ht="27.75" customHeight="1" x14ac:dyDescent="0.2">
      <c r="B24" s="10"/>
      <c r="C24" s="21" t="s">
        <v>22</v>
      </c>
      <c r="D24" s="12"/>
      <c r="E24" s="12"/>
      <c r="F24" s="12"/>
      <c r="G24" s="12"/>
    </row>
    <row r="25" spans="2:7" ht="32.25" customHeight="1" x14ac:dyDescent="0.2">
      <c r="B25" s="10">
        <v>12</v>
      </c>
      <c r="C25" s="20" t="s">
        <v>23</v>
      </c>
      <c r="D25" s="15"/>
      <c r="E25" s="22"/>
      <c r="F25" s="23"/>
      <c r="G25" s="15"/>
    </row>
    <row r="26" spans="2:7" ht="39.75" customHeight="1" x14ac:dyDescent="0.2">
      <c r="B26" s="10">
        <v>13</v>
      </c>
      <c r="C26" s="20" t="s">
        <v>24</v>
      </c>
      <c r="D26" s="15"/>
      <c r="E26" s="17"/>
      <c r="F26" s="15"/>
      <c r="G26" s="15"/>
    </row>
    <row r="27" spans="2:7" ht="33" customHeight="1" x14ac:dyDescent="0.2">
      <c r="B27" s="10">
        <v>14</v>
      </c>
      <c r="C27" s="20" t="s">
        <v>25</v>
      </c>
      <c r="D27" s="13"/>
      <c r="E27" s="13"/>
      <c r="F27" s="13"/>
      <c r="G27" s="13"/>
    </row>
    <row r="28" spans="2:7" ht="24.75" customHeight="1" x14ac:dyDescent="0.2">
      <c r="B28" s="10">
        <v>15</v>
      </c>
      <c r="C28" s="20" t="s">
        <v>26</v>
      </c>
      <c r="D28" s="13"/>
      <c r="E28" s="13"/>
      <c r="F28" s="13"/>
      <c r="G28" s="13"/>
    </row>
    <row r="29" spans="2:7" ht="24.75" customHeight="1" x14ac:dyDescent="0.2">
      <c r="B29" s="10">
        <v>16</v>
      </c>
      <c r="C29" s="20" t="s">
        <v>27</v>
      </c>
      <c r="D29" s="13"/>
      <c r="E29" s="13"/>
      <c r="F29" s="13"/>
      <c r="G29" s="13"/>
    </row>
    <row r="30" spans="2:7" ht="23.25" customHeight="1" x14ac:dyDescent="0.2">
      <c r="B30" s="10">
        <v>17</v>
      </c>
      <c r="C30" s="20" t="s">
        <v>28</v>
      </c>
      <c r="D30" s="13"/>
      <c r="E30" s="13"/>
      <c r="F30" s="13"/>
      <c r="G30" s="13"/>
    </row>
    <row r="31" spans="2:7" ht="18.75" customHeight="1" x14ac:dyDescent="0.2">
      <c r="B31" s="10">
        <v>18</v>
      </c>
      <c r="C31" s="20" t="s">
        <v>29</v>
      </c>
      <c r="D31" s="13"/>
      <c r="E31" s="13"/>
      <c r="F31" s="13"/>
      <c r="G31" s="13"/>
    </row>
    <row r="32" spans="2:7" ht="28.5" customHeight="1" x14ac:dyDescent="0.2">
      <c r="B32" s="10">
        <v>19</v>
      </c>
      <c r="C32" s="20" t="s">
        <v>30</v>
      </c>
      <c r="D32" s="13"/>
      <c r="E32" s="13"/>
      <c r="F32" s="13"/>
      <c r="G32" s="13"/>
    </row>
    <row r="33" spans="2:16" ht="34.5" customHeight="1" x14ac:dyDescent="0.2">
      <c r="B33" s="10">
        <v>20</v>
      </c>
      <c r="C33" s="20" t="s">
        <v>31</v>
      </c>
      <c r="D33" s="13"/>
      <c r="E33" s="13"/>
      <c r="F33" s="13"/>
      <c r="G33" s="13"/>
    </row>
    <row r="34" spans="2:16" ht="15.75" customHeight="1" x14ac:dyDescent="0.2">
      <c r="B34" s="32"/>
      <c r="C34" s="24" t="s">
        <v>32</v>
      </c>
      <c r="D34" s="13"/>
      <c r="E34" s="17">
        <f>SUM(E9:E33)</f>
        <v>0</v>
      </c>
      <c r="F34" s="17">
        <f>SUM(F9:F33)</f>
        <v>0</v>
      </c>
      <c r="G34" s="13"/>
    </row>
    <row r="35" spans="2:16" ht="15.75" customHeight="1" x14ac:dyDescent="0.2">
      <c r="B35" s="33"/>
      <c r="C35" s="25" t="s">
        <v>33</v>
      </c>
      <c r="D35" s="35">
        <f>SUM(D34:F34)</f>
        <v>0</v>
      </c>
      <c r="E35" s="36"/>
      <c r="F35" s="37">
        <f>D35/40</f>
        <v>0</v>
      </c>
      <c r="G35" s="36"/>
    </row>
    <row r="36" spans="2:16" ht="96" customHeight="1" x14ac:dyDescent="0.2">
      <c r="B36" s="26"/>
      <c r="C36" s="27" t="s">
        <v>34</v>
      </c>
      <c r="D36" s="28"/>
      <c r="E36" s="28"/>
      <c r="F36" s="28"/>
      <c r="G36" s="28"/>
    </row>
    <row r="37" spans="2:16" ht="15.75" customHeight="1" x14ac:dyDescent="0.2"/>
    <row r="38" spans="2:16" ht="15.75" customHeight="1" x14ac:dyDescent="0.2"/>
    <row r="39" spans="2:16" ht="15.75" customHeight="1" x14ac:dyDescent="0.2"/>
    <row r="40" spans="2:16" ht="15.75" customHeight="1" x14ac:dyDescent="0.2"/>
    <row r="41" spans="2:16" ht="15.75" customHeight="1" x14ac:dyDescent="0.2"/>
    <row r="42" spans="2:16" ht="15.75" customHeight="1" x14ac:dyDescent="0.2"/>
    <row r="43" spans="2:16" ht="15.75" customHeight="1" x14ac:dyDescent="0.2"/>
    <row r="44" spans="2:16" ht="15.75" customHeight="1" x14ac:dyDescent="0.2"/>
    <row r="45" spans="2:16" ht="15.75" customHeight="1" x14ac:dyDescent="0.2"/>
    <row r="46" spans="2:16" ht="15.75" customHeight="1" x14ac:dyDescent="0.2"/>
    <row r="47" spans="2:16" ht="15.75" customHeight="1" x14ac:dyDescent="0.2"/>
    <row r="48" spans="2:16" s="30" customFormat="1" ht="15.75" customHeight="1" x14ac:dyDescent="0.2">
      <c r="B48" s="29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 s="30" customFormat="1" ht="15.75" customHeight="1" x14ac:dyDescent="0.2">
      <c r="B49" s="2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s="30" customFormat="1" ht="15.75" customHeight="1" x14ac:dyDescent="0.2">
      <c r="B50" s="29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s="30" customFormat="1" ht="15.75" customHeight="1" x14ac:dyDescent="0.2">
      <c r="B51" s="29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s="30" customFormat="1" ht="15.75" customHeight="1" x14ac:dyDescent="0.2">
      <c r="B52" s="29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 s="30" customFormat="1" ht="15.75" customHeight="1" x14ac:dyDescent="0.2">
      <c r="B53" s="29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 s="30" customFormat="1" ht="15.75" customHeight="1" x14ac:dyDescent="0.2">
      <c r="B54" s="29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2:16" s="30" customFormat="1" ht="15.75" customHeight="1" x14ac:dyDescent="0.2">
      <c r="B55" s="29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2:16" s="30" customFormat="1" ht="15.75" customHeight="1" x14ac:dyDescent="0.2">
      <c r="B56" s="29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2:16" s="30" customFormat="1" ht="15.75" customHeight="1" x14ac:dyDescent="0.2">
      <c r="B57" s="29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2:16" s="30" customFormat="1" ht="15.75" customHeight="1" x14ac:dyDescent="0.2">
      <c r="B58" s="29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 s="30" customFormat="1" ht="15.75" customHeight="1" x14ac:dyDescent="0.2">
      <c r="B59" s="2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 s="30" customFormat="1" ht="15.75" customHeight="1" x14ac:dyDescent="0.2">
      <c r="B60" s="29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 s="30" customFormat="1" ht="15.75" customHeight="1" x14ac:dyDescent="0.2">
      <c r="B61" s="29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2:16" s="30" customFormat="1" ht="15.75" customHeight="1" x14ac:dyDescent="0.2">
      <c r="B62" s="29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2:16" s="30" customFormat="1" ht="15.75" customHeight="1" x14ac:dyDescent="0.2">
      <c r="B63" s="29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2:16" s="30" customFormat="1" ht="15.75" customHeight="1" x14ac:dyDescent="0.2">
      <c r="B64" s="29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2:16" s="30" customFormat="1" ht="15.75" customHeight="1" x14ac:dyDescent="0.2">
      <c r="B65" s="29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2:16" s="30" customFormat="1" ht="15.75" customHeight="1" x14ac:dyDescent="0.2">
      <c r="B66" s="29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2:16" s="30" customFormat="1" ht="15.75" customHeight="1" x14ac:dyDescent="0.2">
      <c r="B67" s="29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2:16" s="30" customFormat="1" ht="15.75" customHeight="1" x14ac:dyDescent="0.2">
      <c r="B68" s="29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2:16" s="30" customFormat="1" ht="15.75" customHeight="1" x14ac:dyDescent="0.2">
      <c r="B69" s="2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2:16" s="30" customFormat="1" ht="15.75" customHeight="1" x14ac:dyDescent="0.2">
      <c r="B70" s="29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2:16" s="30" customFormat="1" ht="15.75" customHeight="1" x14ac:dyDescent="0.2">
      <c r="B71" s="29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2:16" s="30" customFormat="1" ht="15.75" customHeight="1" x14ac:dyDescent="0.2">
      <c r="B72" s="29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2:16" s="30" customFormat="1" ht="15.75" customHeight="1" x14ac:dyDescent="0.2">
      <c r="B73" s="29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2:16" s="30" customFormat="1" ht="15.75" customHeight="1" x14ac:dyDescent="0.2">
      <c r="B74" s="29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2:16" s="30" customFormat="1" ht="15.75" customHeight="1" x14ac:dyDescent="0.2">
      <c r="B75" s="29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2:16" s="30" customFormat="1" ht="15.75" customHeight="1" x14ac:dyDescent="0.2">
      <c r="B76" s="29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2:16" s="30" customFormat="1" ht="15.75" customHeight="1" x14ac:dyDescent="0.2">
      <c r="B77" s="29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2:16" s="30" customFormat="1" ht="15.75" customHeight="1" x14ac:dyDescent="0.2">
      <c r="B78" s="29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2:16" s="30" customFormat="1" ht="15.75" customHeight="1" x14ac:dyDescent="0.2">
      <c r="B79" s="2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2:16" s="30" customFormat="1" ht="15.75" customHeight="1" x14ac:dyDescent="0.2">
      <c r="B80" s="29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2:16" s="30" customFormat="1" ht="15.75" customHeight="1" x14ac:dyDescent="0.2">
      <c r="B81" s="29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2:16" s="30" customFormat="1" ht="15.75" customHeight="1" x14ac:dyDescent="0.2">
      <c r="B82" s="29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2:16" s="30" customFormat="1" ht="15.75" customHeight="1" x14ac:dyDescent="0.2">
      <c r="B83" s="29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2:16" s="30" customFormat="1" ht="15.75" customHeight="1" x14ac:dyDescent="0.2">
      <c r="B84" s="29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2:16" s="30" customFormat="1" ht="15.75" customHeight="1" x14ac:dyDescent="0.2">
      <c r="B85" s="29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2:16" s="30" customFormat="1" ht="15.75" customHeight="1" x14ac:dyDescent="0.2">
      <c r="B86" s="29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2:16" s="30" customFormat="1" ht="15.75" customHeight="1" x14ac:dyDescent="0.2">
      <c r="B87" s="29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2:16" s="30" customFormat="1" ht="15.75" customHeight="1" x14ac:dyDescent="0.2">
      <c r="B88" s="29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2:16" s="30" customFormat="1" ht="15.75" customHeight="1" x14ac:dyDescent="0.2">
      <c r="B89" s="2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2:16" s="30" customFormat="1" ht="15.75" customHeight="1" x14ac:dyDescent="0.2">
      <c r="B90" s="29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2:16" s="30" customFormat="1" ht="15.75" customHeight="1" x14ac:dyDescent="0.2">
      <c r="B91" s="29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2:16" s="30" customFormat="1" ht="15.75" customHeight="1" x14ac:dyDescent="0.2">
      <c r="B92" s="29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2:16" s="30" customFormat="1" ht="15.75" customHeight="1" x14ac:dyDescent="0.2">
      <c r="B93" s="29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2:16" s="30" customFormat="1" ht="15.75" customHeight="1" x14ac:dyDescent="0.2">
      <c r="B94" s="29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2:16" s="30" customFormat="1" ht="15.75" customHeight="1" x14ac:dyDescent="0.2">
      <c r="B95" s="29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2:16" s="30" customFormat="1" ht="15.75" customHeight="1" x14ac:dyDescent="0.2">
      <c r="B96" s="29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2:16" s="30" customFormat="1" ht="15.75" customHeight="1" x14ac:dyDescent="0.2">
      <c r="B97" s="29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2:16" s="30" customFormat="1" ht="15.75" customHeight="1" x14ac:dyDescent="0.2">
      <c r="B98" s="29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2:16" s="30" customFormat="1" ht="15.75" customHeight="1" x14ac:dyDescent="0.2">
      <c r="B99" s="2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2:16" s="30" customFormat="1" ht="15.75" customHeight="1" x14ac:dyDescent="0.2">
      <c r="B100" s="29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2:16" s="30" customFormat="1" ht="15.75" customHeight="1" x14ac:dyDescent="0.2">
      <c r="B101" s="29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2:16" s="30" customFormat="1" ht="15.75" customHeight="1" x14ac:dyDescent="0.2">
      <c r="B102" s="29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2:16" s="30" customFormat="1" ht="15.75" customHeight="1" x14ac:dyDescent="0.2">
      <c r="B103" s="29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2:16" s="30" customFormat="1" ht="15.75" customHeight="1" x14ac:dyDescent="0.2">
      <c r="B104" s="29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2:16" s="30" customFormat="1" ht="15.75" customHeight="1" x14ac:dyDescent="0.2">
      <c r="B105" s="29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2:16" s="30" customFormat="1" ht="15.75" customHeight="1" x14ac:dyDescent="0.2">
      <c r="B106" s="29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2:16" s="30" customFormat="1" ht="15.75" customHeight="1" x14ac:dyDescent="0.2">
      <c r="B107" s="29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2:16" s="30" customFormat="1" ht="15.75" customHeight="1" x14ac:dyDescent="0.2">
      <c r="B108" s="29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2:16" s="30" customFormat="1" ht="15.75" customHeight="1" x14ac:dyDescent="0.2">
      <c r="B109" s="2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2:16" s="30" customFormat="1" ht="15.75" customHeight="1" x14ac:dyDescent="0.2">
      <c r="B110" s="29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2:16" s="30" customFormat="1" ht="15.75" customHeight="1" x14ac:dyDescent="0.2">
      <c r="B111" s="29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2:16" s="30" customFormat="1" ht="15.75" customHeight="1" x14ac:dyDescent="0.2">
      <c r="B112" s="29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2:16" s="30" customFormat="1" ht="15.75" customHeight="1" x14ac:dyDescent="0.2">
      <c r="B113" s="29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2:16" s="30" customFormat="1" ht="15.75" customHeight="1" x14ac:dyDescent="0.2">
      <c r="B114" s="29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2:16" s="30" customFormat="1" ht="15.75" customHeight="1" x14ac:dyDescent="0.2">
      <c r="B115" s="29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2:16" s="30" customFormat="1" ht="15.75" customHeight="1" x14ac:dyDescent="0.2">
      <c r="B116" s="29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2:16" s="30" customFormat="1" ht="15.75" customHeight="1" x14ac:dyDescent="0.2">
      <c r="B117" s="29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2:16" s="30" customFormat="1" ht="15.75" customHeight="1" x14ac:dyDescent="0.2">
      <c r="B118" s="29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2:16" s="30" customFormat="1" ht="15.75" customHeight="1" x14ac:dyDescent="0.2">
      <c r="B119" s="2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2:16" s="30" customFormat="1" ht="15.75" customHeight="1" x14ac:dyDescent="0.2">
      <c r="B120" s="29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2:16" s="30" customFormat="1" ht="15.75" customHeight="1" x14ac:dyDescent="0.2">
      <c r="B121" s="29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2:16" s="30" customFormat="1" ht="15.75" customHeight="1" x14ac:dyDescent="0.2">
      <c r="B122" s="29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2:16" s="30" customFormat="1" ht="15.75" customHeight="1" x14ac:dyDescent="0.2">
      <c r="B123" s="29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2:16" s="30" customFormat="1" ht="15.75" customHeight="1" x14ac:dyDescent="0.2">
      <c r="B124" s="29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2:16" s="30" customFormat="1" ht="15.75" customHeight="1" x14ac:dyDescent="0.2">
      <c r="B125" s="29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2:16" s="30" customFormat="1" ht="15.75" customHeight="1" x14ac:dyDescent="0.2">
      <c r="B126" s="29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2:16" s="30" customFormat="1" ht="15.75" customHeight="1" x14ac:dyDescent="0.2">
      <c r="B127" s="29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2:16" s="30" customFormat="1" ht="15.75" customHeight="1" x14ac:dyDescent="0.2">
      <c r="B128" s="29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2:16" s="30" customFormat="1" ht="15.75" customHeight="1" x14ac:dyDescent="0.2">
      <c r="B129" s="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2:16" s="30" customFormat="1" ht="15.75" customHeight="1" x14ac:dyDescent="0.2">
      <c r="B130" s="29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2:16" s="30" customFormat="1" ht="15.75" customHeight="1" x14ac:dyDescent="0.2">
      <c r="B131" s="29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2:16" s="30" customFormat="1" ht="15.75" customHeight="1" x14ac:dyDescent="0.2">
      <c r="B132" s="29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2:16" s="30" customFormat="1" ht="15.75" customHeight="1" x14ac:dyDescent="0.2">
      <c r="B133" s="29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2:16" s="30" customFormat="1" ht="15.75" customHeight="1" x14ac:dyDescent="0.2">
      <c r="B134" s="29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2:16" s="30" customFormat="1" ht="15.75" customHeight="1" x14ac:dyDescent="0.2">
      <c r="B135" s="29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2:16" s="30" customFormat="1" ht="15.75" customHeight="1" x14ac:dyDescent="0.2">
      <c r="B136" s="29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2:16" s="30" customFormat="1" ht="15.75" customHeight="1" x14ac:dyDescent="0.2">
      <c r="B137" s="29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2:16" s="30" customFormat="1" ht="15.75" customHeight="1" x14ac:dyDescent="0.2">
      <c r="B138" s="29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2:16" s="30" customFormat="1" ht="15.75" customHeight="1" x14ac:dyDescent="0.2">
      <c r="B139" s="2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2:16" s="30" customFormat="1" ht="15.75" customHeight="1" x14ac:dyDescent="0.2">
      <c r="B140" s="29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2:16" s="30" customFormat="1" ht="15.75" customHeight="1" x14ac:dyDescent="0.2">
      <c r="B141" s="29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2:16" s="30" customFormat="1" ht="15.75" customHeight="1" x14ac:dyDescent="0.2">
      <c r="B142" s="29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2:16" s="30" customFormat="1" ht="15.75" customHeight="1" x14ac:dyDescent="0.2">
      <c r="B143" s="29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2:16" s="30" customFormat="1" ht="15.75" customHeight="1" x14ac:dyDescent="0.2">
      <c r="B144" s="29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2:16" s="30" customFormat="1" ht="15.75" customHeight="1" x14ac:dyDescent="0.2">
      <c r="B145" s="29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2:16" s="30" customFormat="1" ht="15.75" customHeight="1" x14ac:dyDescent="0.2">
      <c r="B146" s="29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2:16" s="30" customFormat="1" ht="15.75" customHeight="1" x14ac:dyDescent="0.2">
      <c r="B147" s="29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2:16" s="30" customFormat="1" ht="15.75" customHeight="1" x14ac:dyDescent="0.2">
      <c r="B148" s="29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2:16" s="30" customFormat="1" ht="15.75" customHeight="1" x14ac:dyDescent="0.2">
      <c r="B149" s="2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2:16" s="30" customFormat="1" ht="15.75" customHeight="1" x14ac:dyDescent="0.2">
      <c r="B150" s="29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2:16" s="30" customFormat="1" ht="15.75" customHeight="1" x14ac:dyDescent="0.2">
      <c r="B151" s="29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2:16" s="30" customFormat="1" ht="15.75" customHeight="1" x14ac:dyDescent="0.2">
      <c r="B152" s="29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2:16" s="30" customFormat="1" ht="15.75" customHeight="1" x14ac:dyDescent="0.2">
      <c r="B153" s="29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2:16" s="30" customFormat="1" ht="15.75" customHeight="1" x14ac:dyDescent="0.2">
      <c r="B154" s="29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2:16" s="30" customFormat="1" ht="15.75" customHeight="1" x14ac:dyDescent="0.2">
      <c r="B155" s="29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2:16" s="30" customFormat="1" ht="15.75" customHeight="1" x14ac:dyDescent="0.2">
      <c r="B156" s="29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2:16" s="30" customFormat="1" ht="15.75" customHeight="1" x14ac:dyDescent="0.2">
      <c r="B157" s="29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2:16" s="30" customFormat="1" ht="15.75" customHeight="1" x14ac:dyDescent="0.2">
      <c r="B158" s="29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2:16" s="30" customFormat="1" ht="15.75" customHeight="1" x14ac:dyDescent="0.2">
      <c r="B159" s="2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2:16" s="30" customFormat="1" ht="15.75" customHeight="1" x14ac:dyDescent="0.2">
      <c r="B160" s="29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2:16" s="30" customFormat="1" ht="15.75" customHeight="1" x14ac:dyDescent="0.2">
      <c r="B161" s="29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2:16" s="30" customFormat="1" ht="15.75" customHeight="1" x14ac:dyDescent="0.2">
      <c r="B162" s="29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2:16" s="30" customFormat="1" ht="15.75" customHeight="1" x14ac:dyDescent="0.2">
      <c r="B163" s="29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2:16" s="30" customFormat="1" ht="15.75" customHeight="1" x14ac:dyDescent="0.2">
      <c r="B164" s="29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2:16" s="30" customFormat="1" ht="15.75" customHeight="1" x14ac:dyDescent="0.2">
      <c r="B165" s="29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2:16" s="30" customFormat="1" ht="15.75" customHeight="1" x14ac:dyDescent="0.2">
      <c r="B166" s="29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2:16" s="30" customFormat="1" ht="15.75" customHeight="1" x14ac:dyDescent="0.2">
      <c r="B167" s="29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2:16" s="30" customFormat="1" ht="15.75" customHeight="1" x14ac:dyDescent="0.2">
      <c r="B168" s="29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2:16" s="30" customFormat="1" ht="15.75" customHeight="1" x14ac:dyDescent="0.2">
      <c r="B169" s="2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2:16" s="30" customFormat="1" ht="15.75" customHeight="1" x14ac:dyDescent="0.2">
      <c r="B170" s="29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2:16" s="30" customFormat="1" ht="15.75" customHeight="1" x14ac:dyDescent="0.2">
      <c r="B171" s="29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2:16" s="30" customFormat="1" ht="15.75" customHeight="1" x14ac:dyDescent="0.2">
      <c r="B172" s="29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2:16" s="30" customFormat="1" ht="15.75" customHeight="1" x14ac:dyDescent="0.2">
      <c r="B173" s="29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2:16" s="30" customFormat="1" ht="15.75" customHeight="1" x14ac:dyDescent="0.2">
      <c r="B174" s="29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2:16" s="30" customFormat="1" ht="15.75" customHeight="1" x14ac:dyDescent="0.2">
      <c r="B175" s="29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2:16" s="30" customFormat="1" ht="15.75" customHeight="1" x14ac:dyDescent="0.2">
      <c r="B176" s="29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2:16" s="30" customFormat="1" ht="15.75" customHeight="1" x14ac:dyDescent="0.2">
      <c r="B177" s="29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2:16" s="30" customFormat="1" ht="15.75" customHeight="1" x14ac:dyDescent="0.2">
      <c r="B178" s="29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2:16" s="30" customFormat="1" ht="15.75" customHeight="1" x14ac:dyDescent="0.2">
      <c r="B179" s="2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2:16" s="30" customFormat="1" ht="15.75" customHeight="1" x14ac:dyDescent="0.2">
      <c r="B180" s="29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2:16" s="30" customFormat="1" ht="15.75" customHeight="1" x14ac:dyDescent="0.2">
      <c r="B181" s="29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2:16" s="30" customFormat="1" ht="15.75" customHeight="1" x14ac:dyDescent="0.2">
      <c r="B182" s="29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2:16" s="30" customFormat="1" ht="15.75" customHeight="1" x14ac:dyDescent="0.2">
      <c r="B183" s="29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2:16" s="30" customFormat="1" ht="15.75" customHeight="1" x14ac:dyDescent="0.2">
      <c r="B184" s="29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2:16" s="30" customFormat="1" ht="15.75" customHeight="1" x14ac:dyDescent="0.2">
      <c r="B185" s="29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2:16" s="30" customFormat="1" ht="15.75" customHeight="1" x14ac:dyDescent="0.2">
      <c r="B186" s="29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2:16" s="30" customFormat="1" ht="15.75" customHeight="1" x14ac:dyDescent="0.2">
      <c r="B187" s="29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2:16" s="30" customFormat="1" ht="15.75" customHeight="1" x14ac:dyDescent="0.2">
      <c r="B188" s="29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2:16" s="30" customFormat="1" ht="15.75" customHeight="1" x14ac:dyDescent="0.2">
      <c r="B189" s="2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2:16" s="30" customFormat="1" ht="15.75" customHeight="1" x14ac:dyDescent="0.2">
      <c r="B190" s="29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2:16" s="30" customFormat="1" ht="15.75" customHeight="1" x14ac:dyDescent="0.2">
      <c r="B191" s="29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2:16" s="30" customFormat="1" ht="15.75" customHeight="1" x14ac:dyDescent="0.2">
      <c r="B192" s="29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2:16" s="30" customFormat="1" ht="15.75" customHeight="1" x14ac:dyDescent="0.2">
      <c r="B193" s="29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2:16" s="30" customFormat="1" ht="15.75" customHeight="1" x14ac:dyDescent="0.2">
      <c r="B194" s="29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2:16" s="30" customFormat="1" ht="15.75" customHeight="1" x14ac:dyDescent="0.2">
      <c r="B195" s="29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2:16" s="30" customFormat="1" ht="15.75" customHeight="1" x14ac:dyDescent="0.2">
      <c r="B196" s="29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2:16" s="30" customFormat="1" ht="15.75" customHeight="1" x14ac:dyDescent="0.2">
      <c r="B197" s="29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2:16" s="30" customFormat="1" ht="15.75" customHeight="1" x14ac:dyDescent="0.2">
      <c r="B198" s="29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2:16" s="30" customFormat="1" ht="15.75" customHeight="1" x14ac:dyDescent="0.2">
      <c r="B199" s="2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2:16" s="30" customFormat="1" ht="15.75" customHeight="1" x14ac:dyDescent="0.2">
      <c r="B200" s="29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2:16" s="30" customFormat="1" ht="15.75" customHeight="1" x14ac:dyDescent="0.2">
      <c r="B201" s="29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2:16" s="30" customFormat="1" ht="15.75" customHeight="1" x14ac:dyDescent="0.2">
      <c r="B202" s="29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2:16" s="30" customFormat="1" ht="15.75" customHeight="1" x14ac:dyDescent="0.2">
      <c r="B203" s="29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2:16" s="30" customFormat="1" ht="15.75" customHeight="1" x14ac:dyDescent="0.2">
      <c r="B204" s="29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2:16" s="30" customFormat="1" ht="15.75" customHeight="1" x14ac:dyDescent="0.2">
      <c r="B205" s="29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2:16" s="30" customFormat="1" ht="15.75" customHeight="1" x14ac:dyDescent="0.2">
      <c r="B206" s="29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2:16" s="30" customFormat="1" ht="15.75" customHeight="1" x14ac:dyDescent="0.2">
      <c r="B207" s="29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2:16" s="30" customFormat="1" ht="15.75" customHeight="1" x14ac:dyDescent="0.2">
      <c r="B208" s="29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2:16" s="30" customFormat="1" ht="15.75" customHeight="1" x14ac:dyDescent="0.2">
      <c r="B209" s="2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2:16" s="30" customFormat="1" ht="15.75" customHeight="1" x14ac:dyDescent="0.2">
      <c r="B210" s="29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2:16" s="30" customFormat="1" ht="15.75" customHeight="1" x14ac:dyDescent="0.2">
      <c r="B211" s="29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2:16" s="30" customFormat="1" ht="15.75" customHeight="1" x14ac:dyDescent="0.2">
      <c r="B212" s="29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2:16" s="30" customFormat="1" ht="15.75" customHeight="1" x14ac:dyDescent="0.2">
      <c r="B213" s="29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2:16" s="30" customFormat="1" ht="15.75" customHeight="1" x14ac:dyDescent="0.2">
      <c r="B214" s="29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2:16" s="30" customFormat="1" ht="15.75" customHeight="1" x14ac:dyDescent="0.2">
      <c r="B215" s="29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2:16" s="30" customFormat="1" ht="15.75" customHeight="1" x14ac:dyDescent="0.2">
      <c r="B216" s="29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2:16" s="30" customFormat="1" ht="15.75" customHeight="1" x14ac:dyDescent="0.2">
      <c r="B217" s="29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2:16" s="30" customFormat="1" ht="15.75" customHeight="1" x14ac:dyDescent="0.2">
      <c r="B218" s="29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2:16" s="30" customFormat="1" ht="15.75" customHeight="1" x14ac:dyDescent="0.2">
      <c r="B219" s="2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2:16" s="30" customFormat="1" ht="15.75" customHeight="1" x14ac:dyDescent="0.2">
      <c r="B220" s="29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2:16" s="30" customFormat="1" ht="15.75" customHeight="1" x14ac:dyDescent="0.2">
      <c r="B221" s="29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2:16" s="30" customFormat="1" ht="15.75" customHeight="1" x14ac:dyDescent="0.2">
      <c r="B222" s="29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2:16" s="30" customFormat="1" ht="15.75" customHeight="1" x14ac:dyDescent="0.2">
      <c r="B223" s="29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2:16" s="30" customFormat="1" ht="15.75" customHeight="1" x14ac:dyDescent="0.2">
      <c r="B224" s="29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2:16" s="30" customFormat="1" ht="15.75" customHeight="1" x14ac:dyDescent="0.2">
      <c r="B225" s="29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2:16" s="30" customFormat="1" ht="15.75" customHeight="1" x14ac:dyDescent="0.2">
      <c r="B226" s="29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2:16" s="30" customFormat="1" ht="15.75" customHeight="1" x14ac:dyDescent="0.2">
      <c r="B227" s="29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2:16" s="30" customFormat="1" ht="15.75" customHeight="1" x14ac:dyDescent="0.2">
      <c r="B228" s="29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2:16" s="30" customFormat="1" ht="15.75" customHeight="1" x14ac:dyDescent="0.2">
      <c r="B229" s="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2:16" s="30" customFormat="1" ht="15.75" customHeight="1" x14ac:dyDescent="0.2">
      <c r="B230" s="29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2:16" s="30" customFormat="1" ht="15.75" customHeight="1" x14ac:dyDescent="0.2">
      <c r="B231" s="29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2:16" s="30" customFormat="1" ht="15.75" customHeight="1" x14ac:dyDescent="0.2">
      <c r="B232" s="29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2:16" s="30" customFormat="1" ht="15.75" customHeight="1" x14ac:dyDescent="0.2">
      <c r="B233" s="29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2:16" s="30" customFormat="1" ht="15.75" customHeight="1" x14ac:dyDescent="0.2">
      <c r="B234" s="29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2:16" s="30" customFormat="1" ht="15.75" customHeight="1" x14ac:dyDescent="0.2">
      <c r="B235" s="29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2:16" s="30" customFormat="1" ht="15.75" customHeight="1" x14ac:dyDescent="0.2">
      <c r="B236" s="29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2:16" s="30" customFormat="1" ht="15.75" customHeight="1" x14ac:dyDescent="0.2">
      <c r="B237" s="29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2:16" s="30" customFormat="1" ht="15.75" customHeight="1" x14ac:dyDescent="0.2">
      <c r="B238" s="29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2:16" s="30" customFormat="1" ht="15.75" customHeight="1" x14ac:dyDescent="0.2">
      <c r="B239" s="2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2:16" s="30" customFormat="1" ht="15.75" customHeight="1" x14ac:dyDescent="0.2">
      <c r="B240" s="29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2:16" s="30" customFormat="1" ht="15.75" customHeight="1" x14ac:dyDescent="0.2">
      <c r="B241" s="29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2:16" s="30" customFormat="1" ht="15.75" customHeight="1" x14ac:dyDescent="0.2">
      <c r="B242" s="29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2:16" s="30" customFormat="1" ht="15.75" customHeight="1" x14ac:dyDescent="0.2">
      <c r="B243" s="29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2:16" s="30" customFormat="1" ht="15.75" customHeight="1" x14ac:dyDescent="0.2">
      <c r="B244" s="29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2:16" s="30" customFormat="1" ht="15.75" customHeight="1" x14ac:dyDescent="0.2">
      <c r="B245" s="29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2:16" s="30" customFormat="1" ht="15.75" customHeight="1" x14ac:dyDescent="0.2">
      <c r="B246" s="29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2:16" s="30" customFormat="1" ht="15.75" customHeight="1" x14ac:dyDescent="0.2">
      <c r="B247" s="29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2:16" s="30" customFormat="1" ht="15.75" customHeight="1" x14ac:dyDescent="0.2">
      <c r="B248" s="29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2:16" s="30" customFormat="1" ht="15.75" customHeight="1" x14ac:dyDescent="0.2">
      <c r="B249" s="2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2:16" s="30" customFormat="1" ht="15.75" customHeight="1" x14ac:dyDescent="0.2">
      <c r="B250" s="29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2:16" s="30" customFormat="1" ht="15.75" customHeight="1" x14ac:dyDescent="0.2">
      <c r="B251" s="29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2:16" s="30" customFormat="1" ht="15.75" customHeight="1" x14ac:dyDescent="0.2">
      <c r="B252" s="29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2:16" s="30" customFormat="1" ht="15.75" customHeight="1" x14ac:dyDescent="0.2">
      <c r="B253" s="29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2:16" s="30" customFormat="1" ht="15.75" customHeight="1" x14ac:dyDescent="0.2">
      <c r="B254" s="29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2:16" s="30" customFormat="1" ht="15.75" customHeight="1" x14ac:dyDescent="0.2">
      <c r="B255" s="29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2:16" s="30" customFormat="1" ht="15.75" customHeight="1" x14ac:dyDescent="0.2">
      <c r="B256" s="29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2:16" s="30" customFormat="1" ht="15.75" customHeight="1" x14ac:dyDescent="0.2">
      <c r="B257" s="29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2:16" s="30" customFormat="1" ht="15.75" customHeight="1" x14ac:dyDescent="0.2">
      <c r="B258" s="29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2:16" s="30" customFormat="1" ht="15.75" customHeight="1" x14ac:dyDescent="0.2">
      <c r="B259" s="2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2:16" s="30" customFormat="1" ht="15.75" customHeight="1" x14ac:dyDescent="0.2">
      <c r="B260" s="29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2:16" s="30" customFormat="1" ht="15.75" customHeight="1" x14ac:dyDescent="0.2">
      <c r="B261" s="29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2:16" s="30" customFormat="1" ht="15.75" customHeight="1" x14ac:dyDescent="0.2">
      <c r="B262" s="29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2:16" s="30" customFormat="1" ht="15.75" customHeight="1" x14ac:dyDescent="0.2">
      <c r="B263" s="29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2:16" s="30" customFormat="1" ht="15.75" customHeight="1" x14ac:dyDescent="0.2">
      <c r="B264" s="29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2:16" s="30" customFormat="1" ht="15.75" customHeight="1" x14ac:dyDescent="0.2">
      <c r="B265" s="29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2:16" s="30" customFormat="1" ht="15.75" customHeight="1" x14ac:dyDescent="0.2">
      <c r="B266" s="29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2:16" s="30" customFormat="1" ht="15.75" customHeight="1" x14ac:dyDescent="0.2">
      <c r="B267" s="29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2:16" s="30" customFormat="1" ht="15.75" customHeight="1" x14ac:dyDescent="0.2">
      <c r="B268" s="29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2:16" s="30" customFormat="1" ht="15.75" customHeight="1" x14ac:dyDescent="0.2">
      <c r="B269" s="2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2:16" s="30" customFormat="1" ht="15.75" customHeight="1" x14ac:dyDescent="0.2">
      <c r="B270" s="29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2:16" s="30" customFormat="1" ht="15.75" customHeight="1" x14ac:dyDescent="0.2">
      <c r="B271" s="29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2:16" s="30" customFormat="1" ht="15.75" customHeight="1" x14ac:dyDescent="0.2">
      <c r="B272" s="29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2:16" s="30" customFormat="1" ht="15.75" customHeight="1" x14ac:dyDescent="0.2">
      <c r="B273" s="29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2:16" s="30" customFormat="1" ht="15.75" customHeight="1" x14ac:dyDescent="0.2">
      <c r="B274" s="29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2:16" s="30" customFormat="1" ht="15.75" customHeight="1" x14ac:dyDescent="0.2">
      <c r="B275" s="29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2:16" s="30" customFormat="1" ht="15.75" customHeight="1" x14ac:dyDescent="0.2">
      <c r="B276" s="29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2:16" s="30" customFormat="1" ht="15.75" customHeight="1" x14ac:dyDescent="0.2">
      <c r="B277" s="29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2:16" s="30" customFormat="1" ht="15.75" customHeight="1" x14ac:dyDescent="0.2">
      <c r="B278" s="29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2:16" s="30" customFormat="1" ht="15.75" customHeight="1" x14ac:dyDescent="0.2">
      <c r="B279" s="2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2:16" s="30" customFormat="1" ht="15.75" customHeight="1" x14ac:dyDescent="0.2">
      <c r="B280" s="29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2:16" s="30" customFormat="1" ht="15.75" customHeight="1" x14ac:dyDescent="0.2">
      <c r="B281" s="29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2:16" s="30" customFormat="1" ht="15.75" customHeight="1" x14ac:dyDescent="0.2">
      <c r="B282" s="29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2:16" s="30" customFormat="1" ht="15.75" customHeight="1" x14ac:dyDescent="0.2">
      <c r="B283" s="29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2:16" s="30" customFormat="1" ht="15.75" customHeight="1" x14ac:dyDescent="0.2">
      <c r="B284" s="29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2:16" s="30" customFormat="1" ht="15.75" customHeight="1" x14ac:dyDescent="0.2">
      <c r="B285" s="29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2:16" s="30" customFormat="1" ht="15.75" customHeight="1" x14ac:dyDescent="0.2">
      <c r="B286" s="29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2:16" s="30" customFormat="1" ht="15.75" customHeight="1" x14ac:dyDescent="0.2">
      <c r="B287" s="29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2:16" s="30" customFormat="1" ht="15.75" customHeight="1" x14ac:dyDescent="0.2">
      <c r="B288" s="29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2:16" s="30" customFormat="1" ht="15.75" customHeight="1" x14ac:dyDescent="0.2">
      <c r="B289" s="2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2:16" s="30" customFormat="1" ht="15.75" customHeight="1" x14ac:dyDescent="0.2">
      <c r="B290" s="29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2:16" s="30" customFormat="1" ht="15.75" customHeight="1" x14ac:dyDescent="0.2">
      <c r="B291" s="29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2:16" s="30" customFormat="1" ht="15.75" customHeight="1" x14ac:dyDescent="0.2">
      <c r="B292" s="29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2:16" s="30" customFormat="1" ht="15.75" customHeight="1" x14ac:dyDescent="0.2">
      <c r="B293" s="29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2:16" s="30" customFormat="1" ht="15.75" customHeight="1" x14ac:dyDescent="0.2">
      <c r="B294" s="29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2:16" s="30" customFormat="1" ht="15.75" customHeight="1" x14ac:dyDescent="0.2">
      <c r="B295" s="29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2:16" s="30" customFormat="1" ht="15.75" customHeight="1" x14ac:dyDescent="0.2">
      <c r="B296" s="29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2:16" s="30" customFormat="1" ht="15.75" customHeight="1" x14ac:dyDescent="0.2">
      <c r="B297" s="29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2:16" s="30" customFormat="1" ht="15.75" customHeight="1" x14ac:dyDescent="0.2">
      <c r="B298" s="29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2:16" s="30" customFormat="1" ht="15.75" customHeight="1" x14ac:dyDescent="0.2">
      <c r="B299" s="2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2:16" s="30" customFormat="1" ht="15.75" customHeight="1" x14ac:dyDescent="0.2">
      <c r="B300" s="29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2:16" s="30" customFormat="1" ht="15.75" customHeight="1" x14ac:dyDescent="0.2">
      <c r="B301" s="29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2:16" s="30" customFormat="1" ht="15.75" customHeight="1" x14ac:dyDescent="0.2">
      <c r="B302" s="29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2:16" s="30" customFormat="1" ht="15.75" customHeight="1" x14ac:dyDescent="0.2">
      <c r="B303" s="29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2:16" s="30" customFormat="1" ht="15.75" customHeight="1" x14ac:dyDescent="0.2">
      <c r="B304" s="29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2:16" s="30" customFormat="1" ht="15.75" customHeight="1" x14ac:dyDescent="0.2">
      <c r="B305" s="29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2:16" s="30" customFormat="1" ht="15.75" customHeight="1" x14ac:dyDescent="0.2">
      <c r="B306" s="29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2:16" s="30" customFormat="1" ht="15.75" customHeight="1" x14ac:dyDescent="0.2">
      <c r="B307" s="29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2:16" s="30" customFormat="1" ht="15.75" customHeight="1" x14ac:dyDescent="0.2">
      <c r="B308" s="29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2:16" s="30" customFormat="1" ht="15.75" customHeight="1" x14ac:dyDescent="0.2">
      <c r="B309" s="2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2:16" s="30" customFormat="1" ht="15.75" customHeight="1" x14ac:dyDescent="0.2">
      <c r="B310" s="29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2:16" s="30" customFormat="1" ht="15.75" customHeight="1" x14ac:dyDescent="0.2">
      <c r="B311" s="29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2:16" s="30" customFormat="1" ht="15.75" customHeight="1" x14ac:dyDescent="0.2">
      <c r="B312" s="29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2:16" s="30" customFormat="1" ht="15.75" customHeight="1" x14ac:dyDescent="0.2">
      <c r="B313" s="29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2:16" s="30" customFormat="1" ht="15.75" customHeight="1" x14ac:dyDescent="0.2">
      <c r="B314" s="29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2:16" s="30" customFormat="1" ht="15.75" customHeight="1" x14ac:dyDescent="0.2">
      <c r="B315" s="29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2:16" s="30" customFormat="1" ht="15.75" customHeight="1" x14ac:dyDescent="0.2">
      <c r="B316" s="29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2:16" s="30" customFormat="1" ht="15.75" customHeight="1" x14ac:dyDescent="0.2">
      <c r="B317" s="29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2:16" s="30" customFormat="1" ht="15.75" customHeight="1" x14ac:dyDescent="0.2">
      <c r="B318" s="29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2:16" s="30" customFormat="1" ht="15.75" customHeight="1" x14ac:dyDescent="0.2">
      <c r="B319" s="2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2:16" s="30" customFormat="1" ht="15.75" customHeight="1" x14ac:dyDescent="0.2">
      <c r="B320" s="29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2:16" s="30" customFormat="1" ht="15.75" customHeight="1" x14ac:dyDescent="0.2">
      <c r="B321" s="29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2:16" s="30" customFormat="1" ht="15.75" customHeight="1" x14ac:dyDescent="0.2">
      <c r="B322" s="29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2:16" s="30" customFormat="1" ht="15.75" customHeight="1" x14ac:dyDescent="0.2">
      <c r="B323" s="29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2:16" s="30" customFormat="1" ht="15.75" customHeight="1" x14ac:dyDescent="0.2">
      <c r="B324" s="29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2:16" s="30" customFormat="1" ht="15.75" customHeight="1" x14ac:dyDescent="0.2">
      <c r="B325" s="29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2:16" s="30" customFormat="1" ht="15.75" customHeight="1" x14ac:dyDescent="0.2">
      <c r="B326" s="29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2:16" s="30" customFormat="1" ht="15.75" customHeight="1" x14ac:dyDescent="0.2">
      <c r="B327" s="29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2:16" s="30" customFormat="1" ht="15.75" customHeight="1" x14ac:dyDescent="0.2">
      <c r="B328" s="29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2:16" s="30" customFormat="1" ht="15.75" customHeight="1" x14ac:dyDescent="0.2">
      <c r="B329" s="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2:16" s="30" customFormat="1" ht="15.75" customHeight="1" x14ac:dyDescent="0.2">
      <c r="B330" s="29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2:16" s="30" customFormat="1" ht="15.75" customHeight="1" x14ac:dyDescent="0.2">
      <c r="B331" s="29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2:16" s="30" customFormat="1" ht="15.75" customHeight="1" x14ac:dyDescent="0.2">
      <c r="B332" s="29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2:16" s="30" customFormat="1" ht="15.75" customHeight="1" x14ac:dyDescent="0.2">
      <c r="B333" s="29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2:16" s="30" customFormat="1" ht="15.75" customHeight="1" x14ac:dyDescent="0.2">
      <c r="B334" s="29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2:16" s="30" customFormat="1" ht="15.75" customHeight="1" x14ac:dyDescent="0.2">
      <c r="B335" s="29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2:16" s="30" customFormat="1" ht="15.75" customHeight="1" x14ac:dyDescent="0.2">
      <c r="B336" s="29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2:16" s="30" customFormat="1" ht="15.75" customHeight="1" x14ac:dyDescent="0.2">
      <c r="B337" s="29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2:16" s="30" customFormat="1" ht="15.75" customHeight="1" x14ac:dyDescent="0.2">
      <c r="B338" s="29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2:16" s="30" customFormat="1" ht="15.75" customHeight="1" x14ac:dyDescent="0.2">
      <c r="B339" s="2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2:16" s="30" customFormat="1" ht="15.75" customHeight="1" x14ac:dyDescent="0.2">
      <c r="B340" s="29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2:16" s="30" customFormat="1" ht="15.75" customHeight="1" x14ac:dyDescent="0.2">
      <c r="B341" s="29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2:16" s="30" customFormat="1" ht="15.75" customHeight="1" x14ac:dyDescent="0.2">
      <c r="B342" s="29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2:16" s="30" customFormat="1" ht="15.75" customHeight="1" x14ac:dyDescent="0.2">
      <c r="B343" s="29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2:16" s="30" customFormat="1" ht="15.75" customHeight="1" x14ac:dyDescent="0.2">
      <c r="B344" s="29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2:16" s="30" customFormat="1" ht="15.75" customHeight="1" x14ac:dyDescent="0.2">
      <c r="B345" s="29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2:16" s="30" customFormat="1" ht="15.75" customHeight="1" x14ac:dyDescent="0.2">
      <c r="B346" s="29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2:16" s="30" customFormat="1" ht="15.75" customHeight="1" x14ac:dyDescent="0.2">
      <c r="B347" s="29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2:16" s="30" customFormat="1" ht="15.75" customHeight="1" x14ac:dyDescent="0.2">
      <c r="B348" s="29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2:16" s="30" customFormat="1" ht="15.75" customHeight="1" x14ac:dyDescent="0.2">
      <c r="B349" s="2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2:16" s="30" customFormat="1" ht="15.75" customHeight="1" x14ac:dyDescent="0.2">
      <c r="B350" s="29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2:16" s="30" customFormat="1" ht="15.75" customHeight="1" x14ac:dyDescent="0.2">
      <c r="B351" s="29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2:16" s="30" customFormat="1" ht="15.75" customHeight="1" x14ac:dyDescent="0.2">
      <c r="B352" s="29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2:16" s="30" customFormat="1" ht="15.75" customHeight="1" x14ac:dyDescent="0.2">
      <c r="B353" s="29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2:16" s="30" customFormat="1" ht="15.75" customHeight="1" x14ac:dyDescent="0.2">
      <c r="B354" s="29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2:16" s="30" customFormat="1" ht="15.75" customHeight="1" x14ac:dyDescent="0.2">
      <c r="B355" s="29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2:16" s="30" customFormat="1" ht="15.75" customHeight="1" x14ac:dyDescent="0.2">
      <c r="B356" s="29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2:16" s="30" customFormat="1" ht="15.75" customHeight="1" x14ac:dyDescent="0.2">
      <c r="B357" s="29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2:16" s="30" customFormat="1" ht="15.75" customHeight="1" x14ac:dyDescent="0.2">
      <c r="B358" s="29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2:16" s="30" customFormat="1" ht="15.75" customHeight="1" x14ac:dyDescent="0.2">
      <c r="B359" s="2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2:16" s="30" customFormat="1" ht="15.75" customHeight="1" x14ac:dyDescent="0.2">
      <c r="B360" s="29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2:16" s="30" customFormat="1" ht="15.75" customHeight="1" x14ac:dyDescent="0.2">
      <c r="B361" s="29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2:16" s="30" customFormat="1" ht="15.75" customHeight="1" x14ac:dyDescent="0.2">
      <c r="B362" s="29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2:16" s="30" customFormat="1" ht="15.75" customHeight="1" x14ac:dyDescent="0.2">
      <c r="B363" s="29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2:16" s="30" customFormat="1" ht="15.75" customHeight="1" x14ac:dyDescent="0.2">
      <c r="B364" s="29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2:16" s="30" customFormat="1" ht="15.75" customHeight="1" x14ac:dyDescent="0.2">
      <c r="B365" s="29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2:16" s="30" customFormat="1" ht="15.75" customHeight="1" x14ac:dyDescent="0.2">
      <c r="B366" s="29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2:16" s="30" customFormat="1" ht="15.75" customHeight="1" x14ac:dyDescent="0.2">
      <c r="B367" s="29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2:16" s="30" customFormat="1" ht="15.75" customHeight="1" x14ac:dyDescent="0.2">
      <c r="B368" s="29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2:16" s="30" customFormat="1" ht="15.75" customHeight="1" x14ac:dyDescent="0.2">
      <c r="B369" s="2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2:16" s="30" customFormat="1" ht="15.75" customHeight="1" x14ac:dyDescent="0.2">
      <c r="B370" s="29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2:16" s="30" customFormat="1" ht="15.75" customHeight="1" x14ac:dyDescent="0.2">
      <c r="B371" s="29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2:16" s="30" customFormat="1" ht="15.75" customHeight="1" x14ac:dyDescent="0.2">
      <c r="B372" s="29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2:16" s="30" customFormat="1" ht="15.75" customHeight="1" x14ac:dyDescent="0.2">
      <c r="B373" s="29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2:16" s="30" customFormat="1" ht="15.75" customHeight="1" x14ac:dyDescent="0.2">
      <c r="B374" s="29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2:16" s="30" customFormat="1" ht="15.75" customHeight="1" x14ac:dyDescent="0.2">
      <c r="B375" s="29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2:16" s="30" customFormat="1" ht="15.75" customHeight="1" x14ac:dyDescent="0.2">
      <c r="B376" s="29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2:16" s="30" customFormat="1" ht="15.75" customHeight="1" x14ac:dyDescent="0.2">
      <c r="B377" s="29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2:16" s="30" customFormat="1" ht="15.75" customHeight="1" x14ac:dyDescent="0.2">
      <c r="B378" s="29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2:16" s="30" customFormat="1" ht="15.75" customHeight="1" x14ac:dyDescent="0.2">
      <c r="B379" s="2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2:16" s="30" customFormat="1" ht="15.75" customHeight="1" x14ac:dyDescent="0.2">
      <c r="B380" s="29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2:16" s="30" customFormat="1" ht="15.75" customHeight="1" x14ac:dyDescent="0.2">
      <c r="B381" s="29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2:16" s="30" customFormat="1" ht="15.75" customHeight="1" x14ac:dyDescent="0.2">
      <c r="B382" s="29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2:16" s="30" customFormat="1" ht="15.75" customHeight="1" x14ac:dyDescent="0.2">
      <c r="B383" s="29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2:16" s="30" customFormat="1" ht="15.75" customHeight="1" x14ac:dyDescent="0.2">
      <c r="B384" s="29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2:16" s="30" customFormat="1" ht="15.75" customHeight="1" x14ac:dyDescent="0.2">
      <c r="B385" s="29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2:16" s="30" customFormat="1" ht="15.75" customHeight="1" x14ac:dyDescent="0.2">
      <c r="B386" s="29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2:16" s="30" customFormat="1" ht="15.75" customHeight="1" x14ac:dyDescent="0.2">
      <c r="B387" s="29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2:16" s="30" customFormat="1" ht="15.75" customHeight="1" x14ac:dyDescent="0.2">
      <c r="B388" s="29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2:16" s="30" customFormat="1" ht="15.75" customHeight="1" x14ac:dyDescent="0.2">
      <c r="B389" s="2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2:16" s="30" customFormat="1" ht="15.75" customHeight="1" x14ac:dyDescent="0.2">
      <c r="B390" s="29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2:16" s="30" customFormat="1" ht="15.75" customHeight="1" x14ac:dyDescent="0.2">
      <c r="B391" s="29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2:16" s="30" customFormat="1" ht="15.75" customHeight="1" x14ac:dyDescent="0.2">
      <c r="B392" s="29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2:16" s="30" customFormat="1" ht="15.75" customHeight="1" x14ac:dyDescent="0.2">
      <c r="B393" s="29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2:16" s="30" customFormat="1" ht="15.75" customHeight="1" x14ac:dyDescent="0.2">
      <c r="B394" s="29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2:16" s="30" customFormat="1" ht="15.75" customHeight="1" x14ac:dyDescent="0.2">
      <c r="B395" s="29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2:16" s="30" customFormat="1" ht="15.75" customHeight="1" x14ac:dyDescent="0.2">
      <c r="B396" s="29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2:16" s="30" customFormat="1" ht="15.75" customHeight="1" x14ac:dyDescent="0.2">
      <c r="B397" s="29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2:16" s="30" customFormat="1" ht="15.75" customHeight="1" x14ac:dyDescent="0.2">
      <c r="B398" s="29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2:16" s="30" customFormat="1" ht="15.75" customHeight="1" x14ac:dyDescent="0.2">
      <c r="B399" s="2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2:16" s="30" customFormat="1" ht="15.75" customHeight="1" x14ac:dyDescent="0.2">
      <c r="B400" s="29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2:16" s="30" customFormat="1" ht="15.75" customHeight="1" x14ac:dyDescent="0.2">
      <c r="B401" s="29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2:16" s="30" customFormat="1" ht="15.75" customHeight="1" x14ac:dyDescent="0.2">
      <c r="B402" s="29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2:16" s="30" customFormat="1" ht="15.75" customHeight="1" x14ac:dyDescent="0.2">
      <c r="B403" s="29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2:16" s="30" customFormat="1" ht="15.75" customHeight="1" x14ac:dyDescent="0.2">
      <c r="B404" s="29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2:16" s="30" customFormat="1" ht="15.75" customHeight="1" x14ac:dyDescent="0.2">
      <c r="B405" s="29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2:16" s="30" customFormat="1" ht="15.75" customHeight="1" x14ac:dyDescent="0.2">
      <c r="B406" s="29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2:16" s="30" customFormat="1" ht="15.75" customHeight="1" x14ac:dyDescent="0.2">
      <c r="B407" s="29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2:16" s="30" customFormat="1" ht="15.75" customHeight="1" x14ac:dyDescent="0.2">
      <c r="B408" s="29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2:16" s="30" customFormat="1" ht="15.75" customHeight="1" x14ac:dyDescent="0.2">
      <c r="B409" s="2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2:16" s="30" customFormat="1" ht="15.75" customHeight="1" x14ac:dyDescent="0.2">
      <c r="B410" s="29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2:16" s="30" customFormat="1" ht="15.75" customHeight="1" x14ac:dyDescent="0.2">
      <c r="B411" s="29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2:16" s="30" customFormat="1" ht="15.75" customHeight="1" x14ac:dyDescent="0.2">
      <c r="B412" s="29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2:16" s="30" customFormat="1" ht="15.75" customHeight="1" x14ac:dyDescent="0.2">
      <c r="B413" s="29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2:16" s="30" customFormat="1" ht="15.75" customHeight="1" x14ac:dyDescent="0.2">
      <c r="B414" s="29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2:16" s="30" customFormat="1" ht="15.75" customHeight="1" x14ac:dyDescent="0.2">
      <c r="B415" s="29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2:16" s="30" customFormat="1" ht="15.75" customHeight="1" x14ac:dyDescent="0.2">
      <c r="B416" s="29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2:16" s="30" customFormat="1" ht="15.75" customHeight="1" x14ac:dyDescent="0.2">
      <c r="B417" s="29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2:16" s="30" customFormat="1" ht="15.75" customHeight="1" x14ac:dyDescent="0.2">
      <c r="B418" s="29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2:16" s="30" customFormat="1" ht="15.75" customHeight="1" x14ac:dyDescent="0.2">
      <c r="B419" s="2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2:16" s="30" customFormat="1" ht="15.75" customHeight="1" x14ac:dyDescent="0.2">
      <c r="B420" s="29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2:16" s="30" customFormat="1" ht="15.75" customHeight="1" x14ac:dyDescent="0.2">
      <c r="B421" s="29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2:16" s="30" customFormat="1" ht="15.75" customHeight="1" x14ac:dyDescent="0.2">
      <c r="B422" s="29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2:16" s="30" customFormat="1" ht="15.75" customHeight="1" x14ac:dyDescent="0.2">
      <c r="B423" s="29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2:16" s="30" customFormat="1" ht="15.75" customHeight="1" x14ac:dyDescent="0.2">
      <c r="B424" s="29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2:16" s="30" customFormat="1" ht="15.75" customHeight="1" x14ac:dyDescent="0.2">
      <c r="B425" s="29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2:16" s="30" customFormat="1" ht="15.75" customHeight="1" x14ac:dyDescent="0.2">
      <c r="B426" s="29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2:16" s="30" customFormat="1" ht="15.75" customHeight="1" x14ac:dyDescent="0.2">
      <c r="B427" s="29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2:16" s="30" customFormat="1" ht="15.75" customHeight="1" x14ac:dyDescent="0.2">
      <c r="B428" s="29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2:16" s="30" customFormat="1" ht="15.75" customHeight="1" x14ac:dyDescent="0.2">
      <c r="B429" s="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2:16" s="30" customFormat="1" ht="15.75" customHeight="1" x14ac:dyDescent="0.2">
      <c r="B430" s="29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2:16" s="30" customFormat="1" ht="15.75" customHeight="1" x14ac:dyDescent="0.2">
      <c r="B431" s="29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2:16" s="30" customFormat="1" ht="15.75" customHeight="1" x14ac:dyDescent="0.2">
      <c r="B432" s="29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2:16" s="30" customFormat="1" ht="15.75" customHeight="1" x14ac:dyDescent="0.2">
      <c r="B433" s="29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2:16" s="30" customFormat="1" ht="15.75" customHeight="1" x14ac:dyDescent="0.2">
      <c r="B434" s="29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2:16" s="30" customFormat="1" ht="15.75" customHeight="1" x14ac:dyDescent="0.2">
      <c r="B435" s="29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2:16" s="30" customFormat="1" ht="15.75" customHeight="1" x14ac:dyDescent="0.2">
      <c r="B436" s="29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2:16" s="30" customFormat="1" ht="15.75" customHeight="1" x14ac:dyDescent="0.2">
      <c r="B437" s="29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2:16" s="30" customFormat="1" ht="15.75" customHeight="1" x14ac:dyDescent="0.2">
      <c r="B438" s="29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2:16" s="30" customFormat="1" ht="15.75" customHeight="1" x14ac:dyDescent="0.2">
      <c r="B439" s="2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2:16" s="30" customFormat="1" ht="15.75" customHeight="1" x14ac:dyDescent="0.2">
      <c r="B440" s="29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2:16" s="30" customFormat="1" ht="15.75" customHeight="1" x14ac:dyDescent="0.2">
      <c r="B441" s="29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2:16" s="30" customFormat="1" ht="15.75" customHeight="1" x14ac:dyDescent="0.2">
      <c r="B442" s="29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2:16" s="30" customFormat="1" ht="15.75" customHeight="1" x14ac:dyDescent="0.2">
      <c r="B443" s="29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2:16" s="30" customFormat="1" ht="15.75" customHeight="1" x14ac:dyDescent="0.2">
      <c r="B444" s="29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2:16" s="30" customFormat="1" ht="15.75" customHeight="1" x14ac:dyDescent="0.2">
      <c r="B445" s="29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2:16" s="30" customFormat="1" ht="15.75" customHeight="1" x14ac:dyDescent="0.2">
      <c r="B446" s="29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2:16" s="30" customFormat="1" ht="15.75" customHeight="1" x14ac:dyDescent="0.2">
      <c r="B447" s="29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2:16" s="30" customFormat="1" ht="15.75" customHeight="1" x14ac:dyDescent="0.2">
      <c r="B448" s="29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2:16" s="30" customFormat="1" ht="15.75" customHeight="1" x14ac:dyDescent="0.2">
      <c r="B449" s="2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2:16" s="30" customFormat="1" ht="15.75" customHeight="1" x14ac:dyDescent="0.2">
      <c r="B450" s="29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2:16" s="30" customFormat="1" ht="15.75" customHeight="1" x14ac:dyDescent="0.2">
      <c r="B451" s="29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2:16" s="30" customFormat="1" ht="15.75" customHeight="1" x14ac:dyDescent="0.2">
      <c r="B452" s="29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2:16" s="30" customFormat="1" ht="15.75" customHeight="1" x14ac:dyDescent="0.2">
      <c r="B453" s="29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2:16" s="30" customFormat="1" ht="15.75" customHeight="1" x14ac:dyDescent="0.2">
      <c r="B454" s="29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2:16" s="30" customFormat="1" ht="15.75" customHeight="1" x14ac:dyDescent="0.2">
      <c r="B455" s="29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2:16" s="30" customFormat="1" ht="15.75" customHeight="1" x14ac:dyDescent="0.2">
      <c r="B456" s="29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2:16" s="30" customFormat="1" ht="15.75" customHeight="1" x14ac:dyDescent="0.2">
      <c r="B457" s="29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2:16" s="30" customFormat="1" ht="15.75" customHeight="1" x14ac:dyDescent="0.2">
      <c r="B458" s="29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2:16" s="30" customFormat="1" ht="15.75" customHeight="1" x14ac:dyDescent="0.2">
      <c r="B459" s="2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2:16" s="30" customFormat="1" ht="15.75" customHeight="1" x14ac:dyDescent="0.2">
      <c r="B460" s="29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2:16" s="30" customFormat="1" ht="15.75" customHeight="1" x14ac:dyDescent="0.2">
      <c r="B461" s="29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2:16" s="30" customFormat="1" ht="15.75" customHeight="1" x14ac:dyDescent="0.2">
      <c r="B462" s="29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2:16" s="30" customFormat="1" ht="15.75" customHeight="1" x14ac:dyDescent="0.2">
      <c r="B463" s="29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2:16" s="30" customFormat="1" ht="15.75" customHeight="1" x14ac:dyDescent="0.2">
      <c r="B464" s="29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2:16" s="30" customFormat="1" ht="15.75" customHeight="1" x14ac:dyDescent="0.2">
      <c r="B465" s="29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2:16" s="30" customFormat="1" ht="15.75" customHeight="1" x14ac:dyDescent="0.2">
      <c r="B466" s="29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2:16" s="30" customFormat="1" ht="15.75" customHeight="1" x14ac:dyDescent="0.2">
      <c r="B467" s="29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2:16" s="30" customFormat="1" ht="15.75" customHeight="1" x14ac:dyDescent="0.2">
      <c r="B468" s="29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2:16" s="30" customFormat="1" ht="15.75" customHeight="1" x14ac:dyDescent="0.2">
      <c r="B469" s="2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2:16" s="30" customFormat="1" ht="15.75" customHeight="1" x14ac:dyDescent="0.2">
      <c r="B470" s="29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2:16" s="30" customFormat="1" ht="15.75" customHeight="1" x14ac:dyDescent="0.2">
      <c r="B471" s="29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2:16" s="30" customFormat="1" ht="15.75" customHeight="1" x14ac:dyDescent="0.2">
      <c r="B472" s="29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2:16" s="30" customFormat="1" ht="15.75" customHeight="1" x14ac:dyDescent="0.2">
      <c r="B473" s="29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2:16" s="30" customFormat="1" ht="15.75" customHeight="1" x14ac:dyDescent="0.2">
      <c r="B474" s="29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2:16" s="30" customFormat="1" ht="15.75" customHeight="1" x14ac:dyDescent="0.2">
      <c r="B475" s="29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2:16" s="30" customFormat="1" ht="15.75" customHeight="1" x14ac:dyDescent="0.2">
      <c r="B476" s="29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2:16" s="30" customFormat="1" ht="15.75" customHeight="1" x14ac:dyDescent="0.2">
      <c r="B477" s="29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2:16" s="30" customFormat="1" ht="15.75" customHeight="1" x14ac:dyDescent="0.2">
      <c r="B478" s="29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2:16" s="30" customFormat="1" ht="15.75" customHeight="1" x14ac:dyDescent="0.2">
      <c r="B479" s="2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2:16" s="30" customFormat="1" ht="15.75" customHeight="1" x14ac:dyDescent="0.2">
      <c r="B480" s="29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2:16" s="30" customFormat="1" ht="15.75" customHeight="1" x14ac:dyDescent="0.2">
      <c r="B481" s="29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2:16" s="30" customFormat="1" ht="15.75" customHeight="1" x14ac:dyDescent="0.2">
      <c r="B482" s="29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2:16" s="30" customFormat="1" ht="15.75" customHeight="1" x14ac:dyDescent="0.2">
      <c r="B483" s="29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2:16" s="30" customFormat="1" ht="15.75" customHeight="1" x14ac:dyDescent="0.2">
      <c r="B484" s="29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2:16" s="30" customFormat="1" ht="15.75" customHeight="1" x14ac:dyDescent="0.2">
      <c r="B485" s="29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2:16" s="30" customFormat="1" ht="15.75" customHeight="1" x14ac:dyDescent="0.2">
      <c r="B486" s="29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2:16" s="30" customFormat="1" ht="15.75" customHeight="1" x14ac:dyDescent="0.2">
      <c r="B487" s="29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2:16" s="30" customFormat="1" ht="15.75" customHeight="1" x14ac:dyDescent="0.2">
      <c r="B488" s="29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2:16" s="30" customFormat="1" ht="15.75" customHeight="1" x14ac:dyDescent="0.2">
      <c r="B489" s="2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2:16" s="30" customFormat="1" ht="15.75" customHeight="1" x14ac:dyDescent="0.2">
      <c r="B490" s="29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2:16" s="30" customFormat="1" ht="15.75" customHeight="1" x14ac:dyDescent="0.2">
      <c r="B491" s="29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2:16" s="30" customFormat="1" ht="15.75" customHeight="1" x14ac:dyDescent="0.2">
      <c r="B492" s="29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2:16" s="30" customFormat="1" ht="15.75" customHeight="1" x14ac:dyDescent="0.2">
      <c r="B493" s="29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2:16" s="30" customFormat="1" ht="15.75" customHeight="1" x14ac:dyDescent="0.2">
      <c r="B494" s="29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2:16" s="30" customFormat="1" ht="15.75" customHeight="1" x14ac:dyDescent="0.2">
      <c r="B495" s="29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2:16" s="30" customFormat="1" ht="15.75" customHeight="1" x14ac:dyDescent="0.2">
      <c r="B496" s="29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2:16" s="30" customFormat="1" ht="15.75" customHeight="1" x14ac:dyDescent="0.2">
      <c r="B497" s="29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2:16" s="30" customFormat="1" ht="15.75" customHeight="1" x14ac:dyDescent="0.2">
      <c r="B498" s="29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2:16" s="30" customFormat="1" ht="15.75" customHeight="1" x14ac:dyDescent="0.2">
      <c r="B499" s="2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2:16" s="30" customFormat="1" ht="15.75" customHeight="1" x14ac:dyDescent="0.2">
      <c r="B500" s="29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2:16" s="30" customFormat="1" ht="15.75" customHeight="1" x14ac:dyDescent="0.2">
      <c r="B501" s="29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2:16" s="30" customFormat="1" ht="15.75" customHeight="1" x14ac:dyDescent="0.2">
      <c r="B502" s="29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2:16" s="30" customFormat="1" ht="15.75" customHeight="1" x14ac:dyDescent="0.2">
      <c r="B503" s="29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2:16" s="30" customFormat="1" ht="15.75" customHeight="1" x14ac:dyDescent="0.2">
      <c r="B504" s="29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2:16" s="30" customFormat="1" ht="15.75" customHeight="1" x14ac:dyDescent="0.2">
      <c r="B505" s="29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2:16" s="30" customFormat="1" ht="15.75" customHeight="1" x14ac:dyDescent="0.2">
      <c r="B506" s="29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2:16" s="30" customFormat="1" ht="15.75" customHeight="1" x14ac:dyDescent="0.2">
      <c r="B507" s="29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2:16" s="30" customFormat="1" ht="15.75" customHeight="1" x14ac:dyDescent="0.2">
      <c r="B508" s="29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2:16" s="30" customFormat="1" ht="15.75" customHeight="1" x14ac:dyDescent="0.2">
      <c r="B509" s="2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2:16" s="30" customFormat="1" ht="15.75" customHeight="1" x14ac:dyDescent="0.2">
      <c r="B510" s="29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2:16" s="30" customFormat="1" ht="15.75" customHeight="1" x14ac:dyDescent="0.2">
      <c r="B511" s="29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2:16" s="30" customFormat="1" ht="15.75" customHeight="1" x14ac:dyDescent="0.2">
      <c r="B512" s="29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2:16" s="30" customFormat="1" ht="15.75" customHeight="1" x14ac:dyDescent="0.2">
      <c r="B513" s="29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2:16" s="30" customFormat="1" ht="15.75" customHeight="1" x14ac:dyDescent="0.2">
      <c r="B514" s="29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2:16" s="30" customFormat="1" ht="15.75" customHeight="1" x14ac:dyDescent="0.2">
      <c r="B515" s="29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2:16" s="30" customFormat="1" ht="15.75" customHeight="1" x14ac:dyDescent="0.2">
      <c r="B516" s="29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2:16" s="30" customFormat="1" ht="15.75" customHeight="1" x14ac:dyDescent="0.2">
      <c r="B517" s="29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2:16" s="30" customFormat="1" ht="15.75" customHeight="1" x14ac:dyDescent="0.2">
      <c r="B518" s="29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2:16" s="30" customFormat="1" ht="15.75" customHeight="1" x14ac:dyDescent="0.2">
      <c r="B519" s="2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2:16" s="30" customFormat="1" ht="15.75" customHeight="1" x14ac:dyDescent="0.2">
      <c r="B520" s="29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2:16" s="30" customFormat="1" ht="15.75" customHeight="1" x14ac:dyDescent="0.2">
      <c r="B521" s="29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2:16" s="30" customFormat="1" ht="15.75" customHeight="1" x14ac:dyDescent="0.2">
      <c r="B522" s="29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2:16" s="30" customFormat="1" ht="15.75" customHeight="1" x14ac:dyDescent="0.2">
      <c r="B523" s="29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2:16" s="30" customFormat="1" ht="15.75" customHeight="1" x14ac:dyDescent="0.2">
      <c r="B524" s="29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2:16" s="30" customFormat="1" ht="15.75" customHeight="1" x14ac:dyDescent="0.2">
      <c r="B525" s="29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2:16" s="30" customFormat="1" ht="15.75" customHeight="1" x14ac:dyDescent="0.2">
      <c r="B526" s="29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2:16" s="30" customFormat="1" ht="15.75" customHeight="1" x14ac:dyDescent="0.2">
      <c r="B527" s="29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2:16" s="30" customFormat="1" ht="15.75" customHeight="1" x14ac:dyDescent="0.2">
      <c r="B528" s="29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2:16" s="30" customFormat="1" ht="15.75" customHeight="1" x14ac:dyDescent="0.2">
      <c r="B529" s="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2:16" s="30" customFormat="1" ht="15.75" customHeight="1" x14ac:dyDescent="0.2">
      <c r="B530" s="29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2:16" s="30" customFormat="1" ht="15.75" customHeight="1" x14ac:dyDescent="0.2">
      <c r="B531" s="29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2:16" s="30" customFormat="1" ht="15.75" customHeight="1" x14ac:dyDescent="0.2">
      <c r="B532" s="29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2:16" s="30" customFormat="1" ht="15.75" customHeight="1" x14ac:dyDescent="0.2">
      <c r="B533" s="29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2:16" s="30" customFormat="1" ht="15.75" customHeight="1" x14ac:dyDescent="0.2">
      <c r="B534" s="29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2:16" s="30" customFormat="1" ht="15.75" customHeight="1" x14ac:dyDescent="0.2">
      <c r="B535" s="29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2:16" s="30" customFormat="1" ht="15.75" customHeight="1" x14ac:dyDescent="0.2">
      <c r="B536" s="29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2:16" s="30" customFormat="1" ht="15.75" customHeight="1" x14ac:dyDescent="0.2">
      <c r="B537" s="29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2:16" s="30" customFormat="1" ht="15.75" customHeight="1" x14ac:dyDescent="0.2">
      <c r="B538" s="29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2:16" s="30" customFormat="1" ht="15.75" customHeight="1" x14ac:dyDescent="0.2">
      <c r="B539" s="2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2:16" s="30" customFormat="1" ht="15.75" customHeight="1" x14ac:dyDescent="0.2">
      <c r="B540" s="29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2:16" s="30" customFormat="1" ht="15.75" customHeight="1" x14ac:dyDescent="0.2">
      <c r="B541" s="29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2:16" s="30" customFormat="1" ht="15.75" customHeight="1" x14ac:dyDescent="0.2">
      <c r="B542" s="29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2:16" s="30" customFormat="1" ht="15.75" customHeight="1" x14ac:dyDescent="0.2">
      <c r="B543" s="29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2:16" s="30" customFormat="1" ht="15.75" customHeight="1" x14ac:dyDescent="0.2">
      <c r="B544" s="29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2:16" s="30" customFormat="1" ht="15.75" customHeight="1" x14ac:dyDescent="0.2">
      <c r="B545" s="29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2:16" s="30" customFormat="1" ht="15.75" customHeight="1" x14ac:dyDescent="0.2">
      <c r="B546" s="29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2:16" s="30" customFormat="1" ht="15.75" customHeight="1" x14ac:dyDescent="0.2">
      <c r="B547" s="29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2:16" s="30" customFormat="1" ht="15.75" customHeight="1" x14ac:dyDescent="0.2">
      <c r="B548" s="29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2:16" s="30" customFormat="1" ht="15.75" customHeight="1" x14ac:dyDescent="0.2">
      <c r="B549" s="2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2:16" s="30" customFormat="1" ht="15.75" customHeight="1" x14ac:dyDescent="0.2">
      <c r="B550" s="29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2:16" s="30" customFormat="1" ht="15.75" customHeight="1" x14ac:dyDescent="0.2">
      <c r="B551" s="29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2:16" s="30" customFormat="1" ht="15.75" customHeight="1" x14ac:dyDescent="0.2">
      <c r="B552" s="29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2:16" s="30" customFormat="1" ht="15.75" customHeight="1" x14ac:dyDescent="0.2">
      <c r="B553" s="29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2:16" s="30" customFormat="1" ht="15.75" customHeight="1" x14ac:dyDescent="0.2">
      <c r="B554" s="29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2:16" s="30" customFormat="1" ht="15.75" customHeight="1" x14ac:dyDescent="0.2">
      <c r="B555" s="29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2:16" s="30" customFormat="1" ht="15.75" customHeight="1" x14ac:dyDescent="0.2">
      <c r="B556" s="29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2:16" s="30" customFormat="1" ht="15.75" customHeight="1" x14ac:dyDescent="0.2">
      <c r="B557" s="29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2:16" s="30" customFormat="1" ht="15.75" customHeight="1" x14ac:dyDescent="0.2">
      <c r="B558" s="29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2:16" s="30" customFormat="1" ht="15.75" customHeight="1" x14ac:dyDescent="0.2">
      <c r="B559" s="2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2:16" s="30" customFormat="1" ht="15.75" customHeight="1" x14ac:dyDescent="0.2">
      <c r="B560" s="29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2:16" s="30" customFormat="1" ht="15.75" customHeight="1" x14ac:dyDescent="0.2">
      <c r="B561" s="29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2:16" s="30" customFormat="1" ht="15.75" customHeight="1" x14ac:dyDescent="0.2">
      <c r="B562" s="29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2:16" s="30" customFormat="1" ht="15.75" customHeight="1" x14ac:dyDescent="0.2">
      <c r="B563" s="29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2:16" s="30" customFormat="1" ht="15.75" customHeight="1" x14ac:dyDescent="0.2">
      <c r="B564" s="29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2:16" s="30" customFormat="1" ht="15.75" customHeight="1" x14ac:dyDescent="0.2">
      <c r="B565" s="29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2:16" s="30" customFormat="1" ht="15.75" customHeight="1" x14ac:dyDescent="0.2">
      <c r="B566" s="29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2:16" s="30" customFormat="1" ht="15.75" customHeight="1" x14ac:dyDescent="0.2">
      <c r="B567" s="29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2:16" s="30" customFormat="1" ht="15.75" customHeight="1" x14ac:dyDescent="0.2">
      <c r="B568" s="29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2:16" s="30" customFormat="1" ht="15.75" customHeight="1" x14ac:dyDescent="0.2">
      <c r="B569" s="2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2:16" s="30" customFormat="1" ht="15.75" customHeight="1" x14ac:dyDescent="0.2">
      <c r="B570" s="29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2:16" s="30" customFormat="1" ht="15.75" customHeight="1" x14ac:dyDescent="0.2">
      <c r="B571" s="29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2:16" s="30" customFormat="1" ht="15.75" customHeight="1" x14ac:dyDescent="0.2">
      <c r="B572" s="29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2:16" s="30" customFormat="1" ht="15.75" customHeight="1" x14ac:dyDescent="0.2">
      <c r="B573" s="29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2:16" s="30" customFormat="1" ht="15.75" customHeight="1" x14ac:dyDescent="0.2">
      <c r="B574" s="29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2:16" s="30" customFormat="1" ht="15.75" customHeight="1" x14ac:dyDescent="0.2">
      <c r="B575" s="29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2:16" s="30" customFormat="1" ht="15.75" customHeight="1" x14ac:dyDescent="0.2">
      <c r="B576" s="29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2:16" s="30" customFormat="1" ht="15.75" customHeight="1" x14ac:dyDescent="0.2">
      <c r="B577" s="29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2:16" s="30" customFormat="1" ht="15.75" customHeight="1" x14ac:dyDescent="0.2">
      <c r="B578" s="29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2:16" s="30" customFormat="1" ht="15.75" customHeight="1" x14ac:dyDescent="0.2">
      <c r="B579" s="2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2:16" s="30" customFormat="1" ht="15.75" customHeight="1" x14ac:dyDescent="0.2">
      <c r="B580" s="29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2:16" s="30" customFormat="1" ht="15.75" customHeight="1" x14ac:dyDescent="0.2">
      <c r="B581" s="29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2:16" s="30" customFormat="1" ht="15.75" customHeight="1" x14ac:dyDescent="0.2">
      <c r="B582" s="29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2:16" s="30" customFormat="1" ht="15.75" customHeight="1" x14ac:dyDescent="0.2">
      <c r="B583" s="29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2:16" s="30" customFormat="1" ht="15.75" customHeight="1" x14ac:dyDescent="0.2">
      <c r="B584" s="29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2:16" s="30" customFormat="1" ht="15.75" customHeight="1" x14ac:dyDescent="0.2">
      <c r="B585" s="29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2:16" s="30" customFormat="1" ht="15.75" customHeight="1" x14ac:dyDescent="0.2">
      <c r="B586" s="29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2:16" s="30" customFormat="1" ht="15.75" customHeight="1" x14ac:dyDescent="0.2">
      <c r="B587" s="29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2:16" s="30" customFormat="1" ht="15.75" customHeight="1" x14ac:dyDescent="0.2">
      <c r="B588" s="29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2:16" s="30" customFormat="1" ht="15.75" customHeight="1" x14ac:dyDescent="0.2">
      <c r="B589" s="2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2:16" s="30" customFormat="1" ht="15.75" customHeight="1" x14ac:dyDescent="0.2">
      <c r="B590" s="29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2:16" s="30" customFormat="1" ht="15.75" customHeight="1" x14ac:dyDescent="0.2">
      <c r="B591" s="29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2:16" s="30" customFormat="1" ht="15.75" customHeight="1" x14ac:dyDescent="0.2">
      <c r="B592" s="29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2:16" s="30" customFormat="1" ht="15.75" customHeight="1" x14ac:dyDescent="0.2">
      <c r="B593" s="29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2:16" s="30" customFormat="1" ht="15.75" customHeight="1" x14ac:dyDescent="0.2">
      <c r="B594" s="29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2:16" s="30" customFormat="1" ht="15.75" customHeight="1" x14ac:dyDescent="0.2">
      <c r="B595" s="29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2:16" s="30" customFormat="1" ht="15.75" customHeight="1" x14ac:dyDescent="0.2">
      <c r="B596" s="29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2:16" s="30" customFormat="1" ht="15.75" customHeight="1" x14ac:dyDescent="0.2">
      <c r="B597" s="29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2:16" s="30" customFormat="1" ht="15.75" customHeight="1" x14ac:dyDescent="0.2">
      <c r="B598" s="29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2:16" s="30" customFormat="1" ht="15.75" customHeight="1" x14ac:dyDescent="0.2">
      <c r="B599" s="2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2:16" s="30" customFormat="1" ht="15.75" customHeight="1" x14ac:dyDescent="0.2">
      <c r="B600" s="29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2:16" s="30" customFormat="1" ht="15.75" customHeight="1" x14ac:dyDescent="0.2">
      <c r="B601" s="29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2:16" s="30" customFormat="1" ht="15.75" customHeight="1" x14ac:dyDescent="0.2">
      <c r="B602" s="29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2:16" s="30" customFormat="1" ht="15.75" customHeight="1" x14ac:dyDescent="0.2">
      <c r="B603" s="29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2:16" s="30" customFormat="1" ht="15.75" customHeight="1" x14ac:dyDescent="0.2">
      <c r="B604" s="29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2:16" s="30" customFormat="1" ht="15.75" customHeight="1" x14ac:dyDescent="0.2">
      <c r="B605" s="29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2:16" s="30" customFormat="1" ht="15.75" customHeight="1" x14ac:dyDescent="0.2">
      <c r="B606" s="29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2:16" s="30" customFormat="1" ht="15.75" customHeight="1" x14ac:dyDescent="0.2">
      <c r="B607" s="29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2:16" s="30" customFormat="1" ht="15.75" customHeight="1" x14ac:dyDescent="0.2">
      <c r="B608" s="29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2:16" s="30" customFormat="1" ht="15.75" customHeight="1" x14ac:dyDescent="0.2">
      <c r="B609" s="2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2:16" s="30" customFormat="1" ht="15.75" customHeight="1" x14ac:dyDescent="0.2">
      <c r="B610" s="29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2:16" s="30" customFormat="1" ht="15.75" customHeight="1" x14ac:dyDescent="0.2">
      <c r="B611" s="29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2:16" s="30" customFormat="1" ht="15.75" customHeight="1" x14ac:dyDescent="0.2">
      <c r="B612" s="29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2:16" s="30" customFormat="1" ht="15.75" customHeight="1" x14ac:dyDescent="0.2">
      <c r="B613" s="29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2:16" s="30" customFormat="1" ht="15.75" customHeight="1" x14ac:dyDescent="0.2">
      <c r="B614" s="29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2:16" s="30" customFormat="1" ht="15.75" customHeight="1" x14ac:dyDescent="0.2">
      <c r="B615" s="29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2:16" s="30" customFormat="1" ht="15.75" customHeight="1" x14ac:dyDescent="0.2">
      <c r="B616" s="29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2:16" s="30" customFormat="1" ht="15.75" customHeight="1" x14ac:dyDescent="0.2">
      <c r="B617" s="29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2:16" s="30" customFormat="1" ht="15.75" customHeight="1" x14ac:dyDescent="0.2">
      <c r="B618" s="29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2:16" s="30" customFormat="1" ht="15.75" customHeight="1" x14ac:dyDescent="0.2">
      <c r="B619" s="2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2:16" s="30" customFormat="1" ht="15.75" customHeight="1" x14ac:dyDescent="0.2">
      <c r="B620" s="29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2:16" s="30" customFormat="1" ht="15.75" customHeight="1" x14ac:dyDescent="0.2">
      <c r="B621" s="29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2:16" s="30" customFormat="1" ht="15.75" customHeight="1" x14ac:dyDescent="0.2">
      <c r="B622" s="29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2:16" s="30" customFormat="1" ht="15.75" customHeight="1" x14ac:dyDescent="0.2">
      <c r="B623" s="29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2:16" s="30" customFormat="1" ht="15.75" customHeight="1" x14ac:dyDescent="0.2">
      <c r="B624" s="29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2:16" s="30" customFormat="1" ht="15.75" customHeight="1" x14ac:dyDescent="0.2">
      <c r="B625" s="29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2:16" s="30" customFormat="1" ht="15.75" customHeight="1" x14ac:dyDescent="0.2">
      <c r="B626" s="29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2:16" s="30" customFormat="1" ht="15.75" customHeight="1" x14ac:dyDescent="0.2">
      <c r="B627" s="29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2:16" s="30" customFormat="1" ht="15.75" customHeight="1" x14ac:dyDescent="0.2">
      <c r="B628" s="29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2:16" s="30" customFormat="1" ht="15.75" customHeight="1" x14ac:dyDescent="0.2">
      <c r="B629" s="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2:16" s="30" customFormat="1" ht="15.75" customHeight="1" x14ac:dyDescent="0.2">
      <c r="B630" s="29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2:16" s="30" customFormat="1" ht="15.75" customHeight="1" x14ac:dyDescent="0.2">
      <c r="B631" s="29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2:16" s="30" customFormat="1" ht="15.75" customHeight="1" x14ac:dyDescent="0.2">
      <c r="B632" s="29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2:16" s="30" customFormat="1" ht="15.75" customHeight="1" x14ac:dyDescent="0.2">
      <c r="B633" s="29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2:16" s="30" customFormat="1" ht="15.75" customHeight="1" x14ac:dyDescent="0.2">
      <c r="B634" s="29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2:16" s="30" customFormat="1" ht="15.75" customHeight="1" x14ac:dyDescent="0.2">
      <c r="B635" s="29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2:16" s="30" customFormat="1" ht="15.75" customHeight="1" x14ac:dyDescent="0.2">
      <c r="B636" s="29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2:16" s="30" customFormat="1" ht="15.75" customHeight="1" x14ac:dyDescent="0.2">
      <c r="B637" s="29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2:16" s="30" customFormat="1" ht="15.75" customHeight="1" x14ac:dyDescent="0.2">
      <c r="B638" s="29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2:16" s="30" customFormat="1" ht="15.75" customHeight="1" x14ac:dyDescent="0.2">
      <c r="B639" s="2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2:16" s="30" customFormat="1" ht="15.75" customHeight="1" x14ac:dyDescent="0.2">
      <c r="B640" s="29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2:16" s="30" customFormat="1" ht="15.75" customHeight="1" x14ac:dyDescent="0.2">
      <c r="B641" s="29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2:16" s="30" customFormat="1" ht="15.75" customHeight="1" x14ac:dyDescent="0.2">
      <c r="B642" s="29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2:16" s="30" customFormat="1" ht="15.75" customHeight="1" x14ac:dyDescent="0.2">
      <c r="B643" s="29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2:16" s="30" customFormat="1" ht="15.75" customHeight="1" x14ac:dyDescent="0.2">
      <c r="B644" s="29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2:16" s="30" customFormat="1" ht="15.75" customHeight="1" x14ac:dyDescent="0.2">
      <c r="B645" s="29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2:16" s="30" customFormat="1" ht="15.75" customHeight="1" x14ac:dyDescent="0.2">
      <c r="B646" s="29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2:16" s="30" customFormat="1" ht="15.75" customHeight="1" x14ac:dyDescent="0.2">
      <c r="B647" s="29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2:16" s="30" customFormat="1" ht="15.75" customHeight="1" x14ac:dyDescent="0.2">
      <c r="B648" s="29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2:16" s="30" customFormat="1" ht="15.75" customHeight="1" x14ac:dyDescent="0.2">
      <c r="B649" s="2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2:16" s="30" customFormat="1" ht="15.75" customHeight="1" x14ac:dyDescent="0.2">
      <c r="B650" s="29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2:16" s="30" customFormat="1" ht="15.75" customHeight="1" x14ac:dyDescent="0.2">
      <c r="B651" s="29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2:16" s="30" customFormat="1" ht="15.75" customHeight="1" x14ac:dyDescent="0.2">
      <c r="B652" s="29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2:16" s="30" customFormat="1" ht="15.75" customHeight="1" x14ac:dyDescent="0.2">
      <c r="B653" s="29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2:16" s="30" customFormat="1" ht="15.75" customHeight="1" x14ac:dyDescent="0.2">
      <c r="B654" s="29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2:16" s="30" customFormat="1" ht="15.75" customHeight="1" x14ac:dyDescent="0.2">
      <c r="B655" s="29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2:16" s="30" customFormat="1" ht="15.75" customHeight="1" x14ac:dyDescent="0.2">
      <c r="B656" s="29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2:16" s="30" customFormat="1" ht="15.75" customHeight="1" x14ac:dyDescent="0.2">
      <c r="B657" s="29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2:16" s="30" customFormat="1" ht="15.75" customHeight="1" x14ac:dyDescent="0.2">
      <c r="B658" s="29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2:16" s="30" customFormat="1" ht="15.75" customHeight="1" x14ac:dyDescent="0.2">
      <c r="B659" s="2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2:16" s="30" customFormat="1" ht="15.75" customHeight="1" x14ac:dyDescent="0.2">
      <c r="B660" s="29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2:16" s="30" customFormat="1" ht="15.75" customHeight="1" x14ac:dyDescent="0.2">
      <c r="B661" s="29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2:16" s="30" customFormat="1" ht="15.75" customHeight="1" x14ac:dyDescent="0.2">
      <c r="B662" s="29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2:16" s="30" customFormat="1" ht="15.75" customHeight="1" x14ac:dyDescent="0.2">
      <c r="B663" s="29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2:16" s="30" customFormat="1" ht="15.75" customHeight="1" x14ac:dyDescent="0.2">
      <c r="B664" s="29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2:16" s="30" customFormat="1" ht="15.75" customHeight="1" x14ac:dyDescent="0.2">
      <c r="B665" s="29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2:16" s="30" customFormat="1" ht="15.75" customHeight="1" x14ac:dyDescent="0.2">
      <c r="B666" s="29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2:16" s="30" customFormat="1" ht="15.75" customHeight="1" x14ac:dyDescent="0.2">
      <c r="B667" s="29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2:16" s="30" customFormat="1" ht="15.75" customHeight="1" x14ac:dyDescent="0.2">
      <c r="B668" s="29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2:16" s="30" customFormat="1" ht="15.75" customHeight="1" x14ac:dyDescent="0.2">
      <c r="B669" s="2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2:16" s="30" customFormat="1" ht="15.75" customHeight="1" x14ac:dyDescent="0.2">
      <c r="B670" s="29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2:16" s="30" customFormat="1" ht="15.75" customHeight="1" x14ac:dyDescent="0.2">
      <c r="B671" s="29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2:16" s="30" customFormat="1" ht="15.75" customHeight="1" x14ac:dyDescent="0.2">
      <c r="B672" s="29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2:16" s="30" customFormat="1" ht="15.75" customHeight="1" x14ac:dyDescent="0.2">
      <c r="B673" s="29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2:16" s="30" customFormat="1" ht="15.75" customHeight="1" x14ac:dyDescent="0.2">
      <c r="B674" s="29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2:16" s="30" customFormat="1" ht="15.75" customHeight="1" x14ac:dyDescent="0.2">
      <c r="B675" s="29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2:16" s="30" customFormat="1" ht="15.75" customHeight="1" x14ac:dyDescent="0.2">
      <c r="B676" s="29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2:16" s="30" customFormat="1" ht="15.75" customHeight="1" x14ac:dyDescent="0.2">
      <c r="B677" s="29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2:16" s="30" customFormat="1" ht="15.75" customHeight="1" x14ac:dyDescent="0.2">
      <c r="B678" s="29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2:16" s="30" customFormat="1" ht="15.75" customHeight="1" x14ac:dyDescent="0.2">
      <c r="B679" s="2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2:16" s="30" customFormat="1" ht="15.75" customHeight="1" x14ac:dyDescent="0.2">
      <c r="B680" s="29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2:16" s="30" customFormat="1" ht="15.75" customHeight="1" x14ac:dyDescent="0.2">
      <c r="B681" s="29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2:16" s="30" customFormat="1" ht="15.75" customHeight="1" x14ac:dyDescent="0.2">
      <c r="B682" s="29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2:16" s="30" customFormat="1" ht="15.75" customHeight="1" x14ac:dyDescent="0.2">
      <c r="B683" s="29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2:16" s="30" customFormat="1" ht="15.75" customHeight="1" x14ac:dyDescent="0.2">
      <c r="B684" s="29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2:16" s="30" customFormat="1" ht="15.75" customHeight="1" x14ac:dyDescent="0.2">
      <c r="B685" s="29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2:16" s="30" customFormat="1" ht="15.75" customHeight="1" x14ac:dyDescent="0.2">
      <c r="B686" s="29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2:16" s="30" customFormat="1" ht="15.75" customHeight="1" x14ac:dyDescent="0.2">
      <c r="B687" s="29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2:16" s="30" customFormat="1" ht="15.75" customHeight="1" x14ac:dyDescent="0.2">
      <c r="B688" s="29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2:16" s="30" customFormat="1" ht="15.75" customHeight="1" x14ac:dyDescent="0.2">
      <c r="B689" s="2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2:16" s="30" customFormat="1" ht="15.75" customHeight="1" x14ac:dyDescent="0.2">
      <c r="B690" s="29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2:16" s="30" customFormat="1" ht="15.75" customHeight="1" x14ac:dyDescent="0.2">
      <c r="B691" s="29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2:16" s="30" customFormat="1" ht="15.75" customHeight="1" x14ac:dyDescent="0.2">
      <c r="B692" s="29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2:16" s="30" customFormat="1" ht="15.75" customHeight="1" x14ac:dyDescent="0.2">
      <c r="B693" s="29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2:16" s="30" customFormat="1" ht="15.75" customHeight="1" x14ac:dyDescent="0.2">
      <c r="B694" s="29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2:16" s="30" customFormat="1" ht="15.75" customHeight="1" x14ac:dyDescent="0.2">
      <c r="B695" s="29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2:16" s="30" customFormat="1" ht="15.75" customHeight="1" x14ac:dyDescent="0.2">
      <c r="B696" s="29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2:16" s="30" customFormat="1" ht="15.75" customHeight="1" x14ac:dyDescent="0.2">
      <c r="B697" s="29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2:16" s="30" customFormat="1" ht="15.75" customHeight="1" x14ac:dyDescent="0.2">
      <c r="B698" s="29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2:16" s="30" customFormat="1" ht="15.75" customHeight="1" x14ac:dyDescent="0.2">
      <c r="B699" s="2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2:16" s="30" customFormat="1" ht="15.75" customHeight="1" x14ac:dyDescent="0.2">
      <c r="B700" s="29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2:16" s="30" customFormat="1" ht="15.75" customHeight="1" x14ac:dyDescent="0.2">
      <c r="B701" s="29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2:16" s="30" customFormat="1" ht="15.75" customHeight="1" x14ac:dyDescent="0.2">
      <c r="B702" s="29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2:16" s="30" customFormat="1" ht="15.75" customHeight="1" x14ac:dyDescent="0.2">
      <c r="B703" s="29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2:16" s="30" customFormat="1" ht="15.75" customHeight="1" x14ac:dyDescent="0.2">
      <c r="B704" s="29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2:16" s="30" customFormat="1" ht="15.75" customHeight="1" x14ac:dyDescent="0.2">
      <c r="B705" s="29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2:16" s="30" customFormat="1" ht="15.75" customHeight="1" x14ac:dyDescent="0.2">
      <c r="B706" s="29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2:16" s="30" customFormat="1" ht="15.75" customHeight="1" x14ac:dyDescent="0.2">
      <c r="B707" s="29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2:16" s="30" customFormat="1" ht="15.75" customHeight="1" x14ac:dyDescent="0.2">
      <c r="B708" s="29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2:16" s="30" customFormat="1" ht="15.75" customHeight="1" x14ac:dyDescent="0.2">
      <c r="B709" s="2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2:16" s="30" customFormat="1" ht="15.75" customHeight="1" x14ac:dyDescent="0.2">
      <c r="B710" s="29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2:16" s="30" customFormat="1" ht="15.75" customHeight="1" x14ac:dyDescent="0.2">
      <c r="B711" s="29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2:16" s="30" customFormat="1" ht="15.75" customHeight="1" x14ac:dyDescent="0.2">
      <c r="B712" s="29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2:16" s="30" customFormat="1" ht="15.75" customHeight="1" x14ac:dyDescent="0.2">
      <c r="B713" s="29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2:16" s="30" customFormat="1" ht="15.75" customHeight="1" x14ac:dyDescent="0.2">
      <c r="B714" s="29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2:16" s="30" customFormat="1" ht="15.75" customHeight="1" x14ac:dyDescent="0.2">
      <c r="B715" s="29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2:16" s="30" customFormat="1" ht="15.75" customHeight="1" x14ac:dyDescent="0.2">
      <c r="B716" s="29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2:16" s="30" customFormat="1" ht="15.75" customHeight="1" x14ac:dyDescent="0.2">
      <c r="B717" s="29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2:16" s="30" customFormat="1" ht="15.75" customHeight="1" x14ac:dyDescent="0.2">
      <c r="B718" s="29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2:16" s="30" customFormat="1" ht="15.75" customHeight="1" x14ac:dyDescent="0.2">
      <c r="B719" s="2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2:16" s="30" customFormat="1" ht="15.75" customHeight="1" x14ac:dyDescent="0.2">
      <c r="B720" s="29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2:16" s="30" customFormat="1" ht="15.75" customHeight="1" x14ac:dyDescent="0.2">
      <c r="B721" s="29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2:16" s="30" customFormat="1" ht="15.75" customHeight="1" x14ac:dyDescent="0.2">
      <c r="B722" s="29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2:16" s="30" customFormat="1" ht="15.75" customHeight="1" x14ac:dyDescent="0.2">
      <c r="B723" s="29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2:16" s="30" customFormat="1" ht="15.75" customHeight="1" x14ac:dyDescent="0.2">
      <c r="B724" s="29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2:16" s="30" customFormat="1" ht="15.75" customHeight="1" x14ac:dyDescent="0.2">
      <c r="B725" s="29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2:16" s="30" customFormat="1" ht="15.75" customHeight="1" x14ac:dyDescent="0.2">
      <c r="B726" s="29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2:16" s="30" customFormat="1" ht="15.75" customHeight="1" x14ac:dyDescent="0.2">
      <c r="B727" s="29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2:16" s="30" customFormat="1" ht="15.75" customHeight="1" x14ac:dyDescent="0.2">
      <c r="B728" s="29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2:16" s="30" customFormat="1" ht="15.75" customHeight="1" x14ac:dyDescent="0.2">
      <c r="B729" s="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2:16" s="30" customFormat="1" ht="15.75" customHeight="1" x14ac:dyDescent="0.2">
      <c r="B730" s="29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2:16" s="30" customFormat="1" ht="15.75" customHeight="1" x14ac:dyDescent="0.2">
      <c r="B731" s="29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2:16" s="30" customFormat="1" ht="15.75" customHeight="1" x14ac:dyDescent="0.2">
      <c r="B732" s="29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2:16" s="30" customFormat="1" ht="15.75" customHeight="1" x14ac:dyDescent="0.2">
      <c r="B733" s="29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2:16" s="30" customFormat="1" ht="15.75" customHeight="1" x14ac:dyDescent="0.2">
      <c r="B734" s="29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2:16" s="30" customFormat="1" ht="15.75" customHeight="1" x14ac:dyDescent="0.2">
      <c r="B735" s="29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2:16" s="30" customFormat="1" ht="15.75" customHeight="1" x14ac:dyDescent="0.2">
      <c r="B736" s="29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2:16" s="30" customFormat="1" ht="15.75" customHeight="1" x14ac:dyDescent="0.2">
      <c r="B737" s="29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2:16" s="30" customFormat="1" ht="15.75" customHeight="1" x14ac:dyDescent="0.2">
      <c r="B738" s="29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2:16" s="30" customFormat="1" ht="15.75" customHeight="1" x14ac:dyDescent="0.2">
      <c r="B739" s="2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2:16" s="30" customFormat="1" ht="15.75" customHeight="1" x14ac:dyDescent="0.2">
      <c r="B740" s="29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2:16" s="30" customFormat="1" ht="15.75" customHeight="1" x14ac:dyDescent="0.2">
      <c r="B741" s="29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2:16" s="30" customFormat="1" ht="15.75" customHeight="1" x14ac:dyDescent="0.2">
      <c r="B742" s="29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2:16" s="30" customFormat="1" ht="15.75" customHeight="1" x14ac:dyDescent="0.2">
      <c r="B743" s="29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2:16" s="30" customFormat="1" ht="15.75" customHeight="1" x14ac:dyDescent="0.2">
      <c r="B744" s="29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2:16" s="30" customFormat="1" ht="15.75" customHeight="1" x14ac:dyDescent="0.2">
      <c r="B745" s="29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2:16" s="30" customFormat="1" ht="15.75" customHeight="1" x14ac:dyDescent="0.2">
      <c r="B746" s="29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2:16" s="30" customFormat="1" ht="15.75" customHeight="1" x14ac:dyDescent="0.2">
      <c r="B747" s="29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2:16" s="30" customFormat="1" ht="15.75" customHeight="1" x14ac:dyDescent="0.2">
      <c r="B748" s="29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2:16" s="30" customFormat="1" ht="15.75" customHeight="1" x14ac:dyDescent="0.2">
      <c r="B749" s="2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2:16" s="30" customFormat="1" ht="15.75" customHeight="1" x14ac:dyDescent="0.2">
      <c r="B750" s="29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2:16" s="30" customFormat="1" ht="15.75" customHeight="1" x14ac:dyDescent="0.2">
      <c r="B751" s="29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2:16" s="30" customFormat="1" ht="15.75" customHeight="1" x14ac:dyDescent="0.2">
      <c r="B752" s="29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2:16" s="30" customFormat="1" ht="15.75" customHeight="1" x14ac:dyDescent="0.2">
      <c r="B753" s="29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2:16" s="30" customFormat="1" ht="15.75" customHeight="1" x14ac:dyDescent="0.2">
      <c r="B754" s="29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2:16" s="30" customFormat="1" ht="15.75" customHeight="1" x14ac:dyDescent="0.2">
      <c r="B755" s="29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2:16" s="30" customFormat="1" ht="15.75" customHeight="1" x14ac:dyDescent="0.2">
      <c r="B756" s="29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2:16" s="30" customFormat="1" ht="15.75" customHeight="1" x14ac:dyDescent="0.2">
      <c r="B757" s="29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2:16" s="30" customFormat="1" ht="15.75" customHeight="1" x14ac:dyDescent="0.2">
      <c r="B758" s="29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2:16" s="30" customFormat="1" ht="15.75" customHeight="1" x14ac:dyDescent="0.2">
      <c r="B759" s="2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2:16" s="30" customFormat="1" ht="15.75" customHeight="1" x14ac:dyDescent="0.2">
      <c r="B760" s="29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2:16" s="30" customFormat="1" ht="15.75" customHeight="1" x14ac:dyDescent="0.2">
      <c r="B761" s="29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2:16" s="30" customFormat="1" ht="15.75" customHeight="1" x14ac:dyDescent="0.2">
      <c r="B762" s="29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2:16" s="30" customFormat="1" ht="15.75" customHeight="1" x14ac:dyDescent="0.2">
      <c r="B763" s="29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2:16" s="30" customFormat="1" ht="15.75" customHeight="1" x14ac:dyDescent="0.2">
      <c r="B764" s="29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2:16" s="30" customFormat="1" ht="15.75" customHeight="1" x14ac:dyDescent="0.2">
      <c r="B765" s="29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2:16" s="30" customFormat="1" ht="15.75" customHeight="1" x14ac:dyDescent="0.2">
      <c r="B766" s="29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2:16" s="30" customFormat="1" ht="15.75" customHeight="1" x14ac:dyDescent="0.2">
      <c r="B767" s="29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2:16" s="30" customFormat="1" ht="15.75" customHeight="1" x14ac:dyDescent="0.2">
      <c r="B768" s="29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2:16" s="30" customFormat="1" ht="15.75" customHeight="1" x14ac:dyDescent="0.2">
      <c r="B769" s="2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2:16" s="30" customFormat="1" ht="15.75" customHeight="1" x14ac:dyDescent="0.2">
      <c r="B770" s="29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2:16" s="30" customFormat="1" ht="15.75" customHeight="1" x14ac:dyDescent="0.2">
      <c r="B771" s="29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2:16" s="30" customFormat="1" ht="15.75" customHeight="1" x14ac:dyDescent="0.2">
      <c r="B772" s="29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2:16" s="30" customFormat="1" ht="15.75" customHeight="1" x14ac:dyDescent="0.2">
      <c r="B773" s="29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2:16" s="30" customFormat="1" ht="15.75" customHeight="1" x14ac:dyDescent="0.2">
      <c r="B774" s="29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2:16" s="30" customFormat="1" ht="15.75" customHeight="1" x14ac:dyDescent="0.2">
      <c r="B775" s="29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2:16" s="30" customFormat="1" ht="15.75" customHeight="1" x14ac:dyDescent="0.2">
      <c r="B776" s="29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2:16" s="30" customFormat="1" ht="15.75" customHeight="1" x14ac:dyDescent="0.2">
      <c r="B777" s="29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2:16" s="30" customFormat="1" ht="15.75" customHeight="1" x14ac:dyDescent="0.2">
      <c r="B778" s="29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2:16" s="30" customFormat="1" ht="15.75" customHeight="1" x14ac:dyDescent="0.2">
      <c r="B779" s="2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2:16" s="30" customFormat="1" ht="15.75" customHeight="1" x14ac:dyDescent="0.2">
      <c r="B780" s="29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2:16" s="30" customFormat="1" ht="15.75" customHeight="1" x14ac:dyDescent="0.2">
      <c r="B781" s="29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2:16" s="30" customFormat="1" ht="15.75" customHeight="1" x14ac:dyDescent="0.2">
      <c r="B782" s="29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2:16" s="30" customFormat="1" ht="15.75" customHeight="1" x14ac:dyDescent="0.2">
      <c r="B783" s="29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2:16" s="30" customFormat="1" ht="15.75" customHeight="1" x14ac:dyDescent="0.2">
      <c r="B784" s="29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2:16" s="30" customFormat="1" ht="15.75" customHeight="1" x14ac:dyDescent="0.2">
      <c r="B785" s="29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2:16" s="30" customFormat="1" ht="15.75" customHeight="1" x14ac:dyDescent="0.2">
      <c r="B786" s="29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2:16" s="30" customFormat="1" ht="15.75" customHeight="1" x14ac:dyDescent="0.2">
      <c r="B787" s="29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2:16" s="30" customFormat="1" ht="15.75" customHeight="1" x14ac:dyDescent="0.2">
      <c r="B788" s="29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2:16" s="30" customFormat="1" ht="15.75" customHeight="1" x14ac:dyDescent="0.2">
      <c r="B789" s="2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2:16" s="30" customFormat="1" ht="15.75" customHeight="1" x14ac:dyDescent="0.2">
      <c r="B790" s="29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2:16" s="30" customFormat="1" ht="15.75" customHeight="1" x14ac:dyDescent="0.2">
      <c r="B791" s="29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2:16" s="30" customFormat="1" ht="15.75" customHeight="1" x14ac:dyDescent="0.2">
      <c r="B792" s="29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2:16" s="30" customFormat="1" ht="15.75" customHeight="1" x14ac:dyDescent="0.2">
      <c r="B793" s="29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2:16" s="30" customFormat="1" ht="15.75" customHeight="1" x14ac:dyDescent="0.2">
      <c r="B794" s="29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2:16" s="30" customFormat="1" ht="15.75" customHeight="1" x14ac:dyDescent="0.2">
      <c r="B795" s="29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2:16" s="30" customFormat="1" ht="15.75" customHeight="1" x14ac:dyDescent="0.2">
      <c r="B796" s="29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2:16" s="30" customFormat="1" ht="15.75" customHeight="1" x14ac:dyDescent="0.2">
      <c r="B797" s="29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2:16" s="30" customFormat="1" ht="15.75" customHeight="1" x14ac:dyDescent="0.2">
      <c r="B798" s="29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2:16" s="30" customFormat="1" ht="15.75" customHeight="1" x14ac:dyDescent="0.2">
      <c r="B799" s="2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2:16" s="30" customFormat="1" ht="15.75" customHeight="1" x14ac:dyDescent="0.2">
      <c r="B800" s="29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2:16" s="30" customFormat="1" ht="15.75" customHeight="1" x14ac:dyDescent="0.2">
      <c r="B801" s="29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2:16" s="30" customFormat="1" ht="15.75" customHeight="1" x14ac:dyDescent="0.2">
      <c r="B802" s="29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2:16" s="30" customFormat="1" ht="15.75" customHeight="1" x14ac:dyDescent="0.2">
      <c r="B803" s="29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2:16" s="30" customFormat="1" ht="15.75" customHeight="1" x14ac:dyDescent="0.2">
      <c r="B804" s="29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2:16" s="30" customFormat="1" ht="15.75" customHeight="1" x14ac:dyDescent="0.2">
      <c r="B805" s="29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2:16" s="30" customFormat="1" ht="15.75" customHeight="1" x14ac:dyDescent="0.2">
      <c r="B806" s="29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2:16" s="30" customFormat="1" ht="15.75" customHeight="1" x14ac:dyDescent="0.2">
      <c r="B807" s="29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2:16" s="30" customFormat="1" ht="15.75" customHeight="1" x14ac:dyDescent="0.2">
      <c r="B808" s="29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2:16" s="30" customFormat="1" ht="15.75" customHeight="1" x14ac:dyDescent="0.2">
      <c r="B809" s="2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2:16" s="30" customFormat="1" ht="15.75" customHeight="1" x14ac:dyDescent="0.2">
      <c r="B810" s="29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2:16" s="30" customFormat="1" ht="15.75" customHeight="1" x14ac:dyDescent="0.2">
      <c r="B811" s="29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2:16" s="30" customFormat="1" ht="15.75" customHeight="1" x14ac:dyDescent="0.2">
      <c r="B812" s="29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2:16" s="30" customFormat="1" ht="15.75" customHeight="1" x14ac:dyDescent="0.2">
      <c r="B813" s="29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2:16" s="30" customFormat="1" ht="15.75" customHeight="1" x14ac:dyDescent="0.2">
      <c r="B814" s="29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2:16" s="30" customFormat="1" ht="15.75" customHeight="1" x14ac:dyDescent="0.2">
      <c r="B815" s="29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2:16" s="30" customFormat="1" ht="15.75" customHeight="1" x14ac:dyDescent="0.2">
      <c r="B816" s="29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2:16" s="30" customFormat="1" ht="15.75" customHeight="1" x14ac:dyDescent="0.2">
      <c r="B817" s="29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2:16" s="30" customFormat="1" ht="15.75" customHeight="1" x14ac:dyDescent="0.2">
      <c r="B818" s="29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2:16" s="30" customFormat="1" ht="15.75" customHeight="1" x14ac:dyDescent="0.2">
      <c r="B819" s="2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2:16" s="30" customFormat="1" ht="15.75" customHeight="1" x14ac:dyDescent="0.2">
      <c r="B820" s="29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2:16" s="30" customFormat="1" ht="15.75" customHeight="1" x14ac:dyDescent="0.2">
      <c r="B821" s="29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2:16" s="30" customFormat="1" ht="15.75" customHeight="1" x14ac:dyDescent="0.2">
      <c r="B822" s="29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2:16" s="30" customFormat="1" ht="15.75" customHeight="1" x14ac:dyDescent="0.2">
      <c r="B823" s="29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2:16" s="30" customFormat="1" ht="15.75" customHeight="1" x14ac:dyDescent="0.2">
      <c r="B824" s="29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2:16" s="30" customFormat="1" ht="15.75" customHeight="1" x14ac:dyDescent="0.2">
      <c r="B825" s="29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2:16" s="30" customFormat="1" ht="15.75" customHeight="1" x14ac:dyDescent="0.2">
      <c r="B826" s="29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2:16" s="30" customFormat="1" ht="15.75" customHeight="1" x14ac:dyDescent="0.2">
      <c r="B827" s="29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2:16" s="30" customFormat="1" ht="15.75" customHeight="1" x14ac:dyDescent="0.2">
      <c r="B828" s="29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2:16" s="30" customFormat="1" ht="15.75" customHeight="1" x14ac:dyDescent="0.2">
      <c r="B829" s="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2:16" s="30" customFormat="1" ht="15.75" customHeight="1" x14ac:dyDescent="0.2">
      <c r="B830" s="29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2:16" s="30" customFormat="1" ht="15.75" customHeight="1" x14ac:dyDescent="0.2">
      <c r="B831" s="29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2:16" s="30" customFormat="1" ht="15.75" customHeight="1" x14ac:dyDescent="0.2">
      <c r="B832" s="29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2:16" s="30" customFormat="1" ht="15.75" customHeight="1" x14ac:dyDescent="0.2">
      <c r="B833" s="29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2:16" s="30" customFormat="1" ht="15.75" customHeight="1" x14ac:dyDescent="0.2">
      <c r="B834" s="29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2:16" s="30" customFormat="1" ht="15.75" customHeight="1" x14ac:dyDescent="0.2">
      <c r="B835" s="29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2:16" s="30" customFormat="1" ht="15.75" customHeight="1" x14ac:dyDescent="0.2">
      <c r="B836" s="29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2:16" s="30" customFormat="1" ht="15.75" customHeight="1" x14ac:dyDescent="0.2">
      <c r="B837" s="29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2:16" s="30" customFormat="1" ht="15.75" customHeight="1" x14ac:dyDescent="0.2">
      <c r="B838" s="29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2:16" s="30" customFormat="1" ht="15.75" customHeight="1" x14ac:dyDescent="0.2">
      <c r="B839" s="2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2:16" s="30" customFormat="1" ht="15.75" customHeight="1" x14ac:dyDescent="0.2">
      <c r="B840" s="29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2:16" s="30" customFormat="1" ht="15.75" customHeight="1" x14ac:dyDescent="0.2">
      <c r="B841" s="29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2:16" s="30" customFormat="1" ht="15.75" customHeight="1" x14ac:dyDescent="0.2">
      <c r="B842" s="29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2:16" s="30" customFormat="1" ht="15.75" customHeight="1" x14ac:dyDescent="0.2">
      <c r="B843" s="29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2:16" s="30" customFormat="1" ht="15.75" customHeight="1" x14ac:dyDescent="0.2">
      <c r="B844" s="29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2:16" s="30" customFormat="1" ht="15.75" customHeight="1" x14ac:dyDescent="0.2">
      <c r="B845" s="29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2:16" s="30" customFormat="1" ht="15.75" customHeight="1" x14ac:dyDescent="0.2">
      <c r="B846" s="29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2:16" s="30" customFormat="1" ht="15.75" customHeight="1" x14ac:dyDescent="0.2">
      <c r="B847" s="29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2:16" s="30" customFormat="1" ht="15.75" customHeight="1" x14ac:dyDescent="0.2">
      <c r="B848" s="29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2:16" s="30" customFormat="1" ht="15.75" customHeight="1" x14ac:dyDescent="0.2">
      <c r="B849" s="2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2:16" s="30" customFormat="1" ht="15.75" customHeight="1" x14ac:dyDescent="0.2">
      <c r="B850" s="29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2:16" s="30" customFormat="1" ht="15.75" customHeight="1" x14ac:dyDescent="0.2">
      <c r="B851" s="29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2:16" s="30" customFormat="1" ht="15.75" customHeight="1" x14ac:dyDescent="0.2">
      <c r="B852" s="29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2:16" s="30" customFormat="1" ht="15.75" customHeight="1" x14ac:dyDescent="0.2">
      <c r="B853" s="29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2:16" s="30" customFormat="1" ht="15.75" customHeight="1" x14ac:dyDescent="0.2">
      <c r="B854" s="29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2:16" s="30" customFormat="1" ht="15.75" customHeight="1" x14ac:dyDescent="0.2">
      <c r="B855" s="29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2:16" s="30" customFormat="1" ht="15.75" customHeight="1" x14ac:dyDescent="0.2">
      <c r="B856" s="29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2:16" s="30" customFormat="1" ht="15.75" customHeight="1" x14ac:dyDescent="0.2">
      <c r="B857" s="29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2:16" s="30" customFormat="1" ht="15.75" customHeight="1" x14ac:dyDescent="0.2">
      <c r="B858" s="29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2:16" s="30" customFormat="1" ht="15.75" customHeight="1" x14ac:dyDescent="0.2">
      <c r="B859" s="2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2:16" s="30" customFormat="1" ht="15.75" customHeight="1" x14ac:dyDescent="0.2">
      <c r="B860" s="29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2:16" s="30" customFormat="1" ht="15.75" customHeight="1" x14ac:dyDescent="0.2">
      <c r="B861" s="29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2:16" s="30" customFormat="1" ht="15.75" customHeight="1" x14ac:dyDescent="0.2">
      <c r="B862" s="29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2:16" s="30" customFormat="1" ht="15.75" customHeight="1" x14ac:dyDescent="0.2">
      <c r="B863" s="29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2:16" s="30" customFormat="1" ht="15.75" customHeight="1" x14ac:dyDescent="0.2">
      <c r="B864" s="29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2:16" s="30" customFormat="1" ht="15.75" customHeight="1" x14ac:dyDescent="0.2">
      <c r="B865" s="29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2:16" s="30" customFormat="1" ht="15.75" customHeight="1" x14ac:dyDescent="0.2">
      <c r="B866" s="29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2:16" s="30" customFormat="1" ht="15.75" customHeight="1" x14ac:dyDescent="0.2">
      <c r="B867" s="29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2:16" s="30" customFormat="1" ht="15.75" customHeight="1" x14ac:dyDescent="0.2">
      <c r="B868" s="29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2:16" s="30" customFormat="1" ht="15.75" customHeight="1" x14ac:dyDescent="0.2">
      <c r="B869" s="2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2:16" s="30" customFormat="1" ht="15.75" customHeight="1" x14ac:dyDescent="0.2">
      <c r="B870" s="29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2:16" s="30" customFormat="1" ht="15.75" customHeight="1" x14ac:dyDescent="0.2">
      <c r="B871" s="29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2:16" s="30" customFormat="1" ht="15.75" customHeight="1" x14ac:dyDescent="0.2">
      <c r="B872" s="29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2:16" s="30" customFormat="1" ht="15.75" customHeight="1" x14ac:dyDescent="0.2">
      <c r="B873" s="29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2:16" s="30" customFormat="1" ht="15.75" customHeight="1" x14ac:dyDescent="0.2">
      <c r="B874" s="29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2:16" s="30" customFormat="1" ht="15.75" customHeight="1" x14ac:dyDescent="0.2">
      <c r="B875" s="29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2:16" s="30" customFormat="1" ht="15.75" customHeight="1" x14ac:dyDescent="0.2">
      <c r="B876" s="29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2:16" s="30" customFormat="1" ht="15.75" customHeight="1" x14ac:dyDescent="0.2">
      <c r="B877" s="29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2:16" s="30" customFormat="1" ht="15.75" customHeight="1" x14ac:dyDescent="0.2">
      <c r="B878" s="29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2:16" s="30" customFormat="1" ht="15.75" customHeight="1" x14ac:dyDescent="0.2">
      <c r="B879" s="2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2:16" s="30" customFormat="1" ht="15.75" customHeight="1" x14ac:dyDescent="0.2">
      <c r="B880" s="29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2:16" s="30" customFormat="1" ht="15.75" customHeight="1" x14ac:dyDescent="0.2">
      <c r="B881" s="29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2:16" s="30" customFormat="1" ht="15.75" customHeight="1" x14ac:dyDescent="0.2">
      <c r="B882" s="29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2:16" s="30" customFormat="1" ht="15.75" customHeight="1" x14ac:dyDescent="0.2">
      <c r="B883" s="29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2:16" s="30" customFormat="1" ht="15.75" customHeight="1" x14ac:dyDescent="0.2">
      <c r="B884" s="29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2:16" s="30" customFormat="1" ht="15.75" customHeight="1" x14ac:dyDescent="0.2">
      <c r="B885" s="29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2:16" s="30" customFormat="1" ht="15.75" customHeight="1" x14ac:dyDescent="0.2">
      <c r="B886" s="29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2:16" s="30" customFormat="1" ht="15.75" customHeight="1" x14ac:dyDescent="0.2">
      <c r="B887" s="29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2:16" s="30" customFormat="1" ht="15.75" customHeight="1" x14ac:dyDescent="0.2">
      <c r="B888" s="29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2:16" s="30" customFormat="1" ht="15.75" customHeight="1" x14ac:dyDescent="0.2">
      <c r="B889" s="2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2:16" s="30" customFormat="1" ht="15.75" customHeight="1" x14ac:dyDescent="0.2">
      <c r="B890" s="29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2:16" s="30" customFormat="1" ht="15.75" customHeight="1" x14ac:dyDescent="0.2">
      <c r="B891" s="29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2:16" s="30" customFormat="1" ht="15.75" customHeight="1" x14ac:dyDescent="0.2">
      <c r="B892" s="29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2:16" s="30" customFormat="1" ht="15.75" customHeight="1" x14ac:dyDescent="0.2">
      <c r="B893" s="29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2:16" s="30" customFormat="1" ht="15.75" customHeight="1" x14ac:dyDescent="0.2">
      <c r="B894" s="29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2:16" s="30" customFormat="1" ht="15.75" customHeight="1" x14ac:dyDescent="0.2">
      <c r="B895" s="29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2:16" s="30" customFormat="1" ht="15.75" customHeight="1" x14ac:dyDescent="0.2">
      <c r="B896" s="29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2:16" s="30" customFormat="1" ht="15.75" customHeight="1" x14ac:dyDescent="0.2">
      <c r="B897" s="29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2:16" s="30" customFormat="1" ht="15.75" customHeight="1" x14ac:dyDescent="0.2">
      <c r="B898" s="29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2:16" s="30" customFormat="1" ht="15.75" customHeight="1" x14ac:dyDescent="0.2">
      <c r="B899" s="2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2:16" s="30" customFormat="1" ht="15.75" customHeight="1" x14ac:dyDescent="0.2">
      <c r="B900" s="29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2:16" s="30" customFormat="1" ht="15.75" customHeight="1" x14ac:dyDescent="0.2">
      <c r="B901" s="29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2:16" s="30" customFormat="1" ht="15.75" customHeight="1" x14ac:dyDescent="0.2">
      <c r="B902" s="29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2:16" s="30" customFormat="1" ht="15.75" customHeight="1" x14ac:dyDescent="0.2">
      <c r="B903" s="29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2:16" s="30" customFormat="1" ht="15.75" customHeight="1" x14ac:dyDescent="0.2">
      <c r="B904" s="29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2:16" s="30" customFormat="1" ht="15.75" customHeight="1" x14ac:dyDescent="0.2">
      <c r="B905" s="29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2:16" s="30" customFormat="1" ht="15.75" customHeight="1" x14ac:dyDescent="0.2">
      <c r="B906" s="29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2:16" s="30" customFormat="1" ht="15.75" customHeight="1" x14ac:dyDescent="0.2">
      <c r="B907" s="29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2:16" s="30" customFormat="1" ht="15.75" customHeight="1" x14ac:dyDescent="0.2">
      <c r="B908" s="29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2:16" s="30" customFormat="1" ht="15.75" customHeight="1" x14ac:dyDescent="0.2">
      <c r="B909" s="2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2:16" s="30" customFormat="1" ht="15.75" customHeight="1" x14ac:dyDescent="0.2">
      <c r="B910" s="29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2:16" s="30" customFormat="1" ht="15.75" customHeight="1" x14ac:dyDescent="0.2">
      <c r="B911" s="29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2:16" s="30" customFormat="1" ht="15.75" customHeight="1" x14ac:dyDescent="0.2">
      <c r="B912" s="29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2:16" s="30" customFormat="1" ht="15.75" customHeight="1" x14ac:dyDescent="0.2">
      <c r="B913" s="29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2:16" s="30" customFormat="1" ht="15.75" customHeight="1" x14ac:dyDescent="0.2">
      <c r="B914" s="29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2:16" s="30" customFormat="1" ht="15.75" customHeight="1" x14ac:dyDescent="0.2">
      <c r="B915" s="29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2:16" s="30" customFormat="1" ht="15.75" customHeight="1" x14ac:dyDescent="0.2">
      <c r="B916" s="29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2:16" s="30" customFormat="1" ht="15.75" customHeight="1" x14ac:dyDescent="0.2">
      <c r="B917" s="29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2:16" s="30" customFormat="1" ht="15.75" customHeight="1" x14ac:dyDescent="0.2">
      <c r="B918" s="29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2:16" s="30" customFormat="1" ht="15.75" customHeight="1" x14ac:dyDescent="0.2">
      <c r="B919" s="2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2:16" s="30" customFormat="1" ht="15.75" customHeight="1" x14ac:dyDescent="0.2">
      <c r="B920" s="29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2:16" s="30" customFormat="1" ht="15.75" customHeight="1" x14ac:dyDescent="0.2">
      <c r="B921" s="29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2:16" s="30" customFormat="1" ht="15.75" customHeight="1" x14ac:dyDescent="0.2">
      <c r="B922" s="29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2:16" s="30" customFormat="1" ht="15.75" customHeight="1" x14ac:dyDescent="0.2">
      <c r="B923" s="29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2:16" s="30" customFormat="1" ht="15.75" customHeight="1" x14ac:dyDescent="0.2">
      <c r="B924" s="29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2:16" s="30" customFormat="1" ht="15.75" customHeight="1" x14ac:dyDescent="0.2">
      <c r="B925" s="29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2:16" s="30" customFormat="1" ht="15.75" customHeight="1" x14ac:dyDescent="0.2">
      <c r="B926" s="29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2:16" s="30" customFormat="1" ht="15.75" customHeight="1" x14ac:dyDescent="0.2">
      <c r="B927" s="29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2:16" s="30" customFormat="1" ht="15.75" customHeight="1" x14ac:dyDescent="0.2">
      <c r="B928" s="29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2:16" s="30" customFormat="1" ht="15.75" customHeight="1" x14ac:dyDescent="0.2">
      <c r="B929" s="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2:16" s="30" customFormat="1" ht="15.75" customHeight="1" x14ac:dyDescent="0.2">
      <c r="B930" s="29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2:16" s="30" customFormat="1" ht="15.75" customHeight="1" x14ac:dyDescent="0.2">
      <c r="B931" s="29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2:16" s="30" customFormat="1" ht="15.75" customHeight="1" x14ac:dyDescent="0.2">
      <c r="B932" s="29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2:16" s="30" customFormat="1" ht="15.75" customHeight="1" x14ac:dyDescent="0.2">
      <c r="B933" s="29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2:16" s="30" customFormat="1" ht="15.75" customHeight="1" x14ac:dyDescent="0.2">
      <c r="B934" s="29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2:16" s="30" customFormat="1" ht="15.75" customHeight="1" x14ac:dyDescent="0.2">
      <c r="B935" s="29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2:16" s="30" customFormat="1" ht="15.75" customHeight="1" x14ac:dyDescent="0.2">
      <c r="B936" s="29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2:16" s="30" customFormat="1" ht="15.75" customHeight="1" x14ac:dyDescent="0.2">
      <c r="B937" s="29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2:16" s="30" customFormat="1" ht="15.75" customHeight="1" x14ac:dyDescent="0.2">
      <c r="B938" s="29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2:16" s="30" customFormat="1" ht="15.75" customHeight="1" x14ac:dyDescent="0.2">
      <c r="B939" s="2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2:16" s="30" customFormat="1" ht="15.75" customHeight="1" x14ac:dyDescent="0.2">
      <c r="B940" s="29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2:16" s="30" customFormat="1" ht="15.75" customHeight="1" x14ac:dyDescent="0.2">
      <c r="B941" s="29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2:16" s="30" customFormat="1" ht="15.75" customHeight="1" x14ac:dyDescent="0.2">
      <c r="B942" s="29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2:16" s="30" customFormat="1" ht="15.75" customHeight="1" x14ac:dyDescent="0.2">
      <c r="B943" s="29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2:16" s="30" customFormat="1" ht="15.75" customHeight="1" x14ac:dyDescent="0.2">
      <c r="B944" s="29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2:16" s="30" customFormat="1" ht="15.75" customHeight="1" x14ac:dyDescent="0.2">
      <c r="B945" s="29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2:16" s="30" customFormat="1" ht="15.75" customHeight="1" x14ac:dyDescent="0.2">
      <c r="B946" s="29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2:16" s="30" customFormat="1" ht="15.75" customHeight="1" x14ac:dyDescent="0.2">
      <c r="B947" s="29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2:16" s="30" customFormat="1" ht="15.75" customHeight="1" x14ac:dyDescent="0.2">
      <c r="B948" s="29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2:16" s="30" customFormat="1" ht="15.75" customHeight="1" x14ac:dyDescent="0.2">
      <c r="B949" s="2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2:16" s="30" customFormat="1" ht="15.75" customHeight="1" x14ac:dyDescent="0.2">
      <c r="B950" s="29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2:16" s="30" customFormat="1" ht="15.75" customHeight="1" x14ac:dyDescent="0.2">
      <c r="B951" s="29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2:16" s="30" customFormat="1" ht="15.75" customHeight="1" x14ac:dyDescent="0.2">
      <c r="B952" s="29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2:16" s="30" customFormat="1" ht="15.75" customHeight="1" x14ac:dyDescent="0.2">
      <c r="B953" s="29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2:16" s="30" customFormat="1" ht="15.75" customHeight="1" x14ac:dyDescent="0.2">
      <c r="B954" s="29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2:16" s="30" customFormat="1" ht="15.75" customHeight="1" x14ac:dyDescent="0.2">
      <c r="B955" s="29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2:16" s="30" customFormat="1" ht="15.75" customHeight="1" x14ac:dyDescent="0.2">
      <c r="B956" s="29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2:16" s="30" customFormat="1" ht="15.75" customHeight="1" x14ac:dyDescent="0.2">
      <c r="B957" s="29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2:16" s="30" customFormat="1" ht="15.75" customHeight="1" x14ac:dyDescent="0.2">
      <c r="B958" s="29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2:16" s="30" customFormat="1" ht="15.75" customHeight="1" x14ac:dyDescent="0.2">
      <c r="B959" s="2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2:16" s="30" customFormat="1" ht="15.75" customHeight="1" x14ac:dyDescent="0.2">
      <c r="B960" s="29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2:16" s="30" customFormat="1" ht="15.75" customHeight="1" x14ac:dyDescent="0.2">
      <c r="B961" s="29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2:16" s="30" customFormat="1" ht="15.75" customHeight="1" x14ac:dyDescent="0.2">
      <c r="B962" s="29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2:16" s="30" customFormat="1" ht="15.75" customHeight="1" x14ac:dyDescent="0.2">
      <c r="B963" s="29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2:16" s="30" customFormat="1" ht="15.75" customHeight="1" x14ac:dyDescent="0.2">
      <c r="B964" s="29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2:16" s="30" customFormat="1" ht="15.75" customHeight="1" x14ac:dyDescent="0.2">
      <c r="B965" s="29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2:16" s="30" customFormat="1" ht="15.75" customHeight="1" x14ac:dyDescent="0.2">
      <c r="B966" s="29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2:16" s="30" customFormat="1" ht="15.75" customHeight="1" x14ac:dyDescent="0.2">
      <c r="B967" s="29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2:16" s="30" customFormat="1" ht="15.75" customHeight="1" x14ac:dyDescent="0.2">
      <c r="B968" s="29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2:16" s="30" customFormat="1" ht="15.75" customHeight="1" x14ac:dyDescent="0.2">
      <c r="B969" s="2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2:16" s="30" customFormat="1" ht="15.75" customHeight="1" x14ac:dyDescent="0.2">
      <c r="B970" s="29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2:16" s="30" customFormat="1" ht="15.75" customHeight="1" x14ac:dyDescent="0.2">
      <c r="B971" s="29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2:16" s="30" customFormat="1" ht="15.75" customHeight="1" x14ac:dyDescent="0.2">
      <c r="B972" s="29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2:16" s="30" customFormat="1" ht="15.75" customHeight="1" x14ac:dyDescent="0.2">
      <c r="B973" s="29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2:16" s="30" customFormat="1" ht="15.75" customHeight="1" x14ac:dyDescent="0.2">
      <c r="B974" s="29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2:16" s="30" customFormat="1" ht="15.75" customHeight="1" x14ac:dyDescent="0.2">
      <c r="B975" s="29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2:16" s="30" customFormat="1" ht="15.75" customHeight="1" x14ac:dyDescent="0.2">
      <c r="B976" s="29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2:16" s="30" customFormat="1" ht="15.75" customHeight="1" x14ac:dyDescent="0.2">
      <c r="B977" s="29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2:16" s="30" customFormat="1" ht="15.75" customHeight="1" x14ac:dyDescent="0.2">
      <c r="B978" s="29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2:16" s="30" customFormat="1" ht="15.75" customHeight="1" x14ac:dyDescent="0.2">
      <c r="B979" s="2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2:16" s="30" customFormat="1" ht="15.75" customHeight="1" x14ac:dyDescent="0.2">
      <c r="B980" s="29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2:16" s="30" customFormat="1" ht="15.75" customHeight="1" x14ac:dyDescent="0.2">
      <c r="B981" s="29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2:16" s="30" customFormat="1" ht="15.75" customHeight="1" x14ac:dyDescent="0.2">
      <c r="B982" s="29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2:16" s="30" customFormat="1" ht="15.75" customHeight="1" x14ac:dyDescent="0.2">
      <c r="B983" s="29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2:16" s="30" customFormat="1" ht="15.75" customHeight="1" x14ac:dyDescent="0.2">
      <c r="B984" s="29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2:16" s="30" customFormat="1" ht="15.75" customHeight="1" x14ac:dyDescent="0.2">
      <c r="B985" s="29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2:16" s="30" customFormat="1" ht="15.75" customHeight="1" x14ac:dyDescent="0.2">
      <c r="B986" s="29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2:16" s="30" customFormat="1" ht="15.75" customHeight="1" x14ac:dyDescent="0.2">
      <c r="B987" s="29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2:16" s="30" customFormat="1" ht="15.75" customHeight="1" x14ac:dyDescent="0.2">
      <c r="B988" s="29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2:16" s="30" customFormat="1" ht="15.75" customHeight="1" x14ac:dyDescent="0.2">
      <c r="B989" s="2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2:16" s="30" customFormat="1" ht="15.75" customHeight="1" x14ac:dyDescent="0.2">
      <c r="B990" s="29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2:16" s="30" customFormat="1" ht="15.75" customHeight="1" x14ac:dyDescent="0.2">
      <c r="B991" s="29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2:16" s="30" customFormat="1" ht="15.75" customHeight="1" x14ac:dyDescent="0.2">
      <c r="B992" s="29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2:16" s="30" customFormat="1" ht="15.75" customHeight="1" x14ac:dyDescent="0.2">
      <c r="B993" s="29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2:16" s="30" customFormat="1" ht="15.75" customHeight="1" x14ac:dyDescent="0.2">
      <c r="B994" s="29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2:16" s="30" customFormat="1" ht="15.75" customHeight="1" x14ac:dyDescent="0.2">
      <c r="B995" s="29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pans="2:16" s="30" customFormat="1" ht="15.75" customHeight="1" x14ac:dyDescent="0.2">
      <c r="B996" s="29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pans="2:16" s="30" customFormat="1" ht="15.75" customHeight="1" x14ac:dyDescent="0.2">
      <c r="B997" s="29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pans="2:16" s="30" customFormat="1" ht="15.75" customHeight="1" x14ac:dyDescent="0.2">
      <c r="B998" s="29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</sheetData>
  <mergeCells count="12">
    <mergeCell ref="B1:G1"/>
    <mergeCell ref="B5:C6"/>
    <mergeCell ref="D5:G6"/>
    <mergeCell ref="B7:B8"/>
    <mergeCell ref="D8:G8"/>
    <mergeCell ref="B14:B15"/>
    <mergeCell ref="D14:G15"/>
    <mergeCell ref="B19:B20"/>
    <mergeCell ref="D19:G19"/>
    <mergeCell ref="B34:B35"/>
    <mergeCell ref="D35:E35"/>
    <mergeCell ref="F35:G35"/>
  </mergeCells>
  <pageMargins left="0.7" right="0.7" top="0.75" bottom="0.75" header="0" footer="0"/>
  <pageSetup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</vt:lpstr>
      <vt:lpstr>'1'!Área_de_impresión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MARIO PORTILLO LAUPA</dc:creator>
  <cp:lastModifiedBy>Juan Pablo Portillo Laupa</cp:lastModifiedBy>
  <cp:lastPrinted>2025-10-27T17:11:58Z</cp:lastPrinted>
  <dcterms:created xsi:type="dcterms:W3CDTF">2025-10-27T16:42:49Z</dcterms:created>
  <dcterms:modified xsi:type="dcterms:W3CDTF">2025-11-09T22:11:29Z</dcterms:modified>
</cp:coreProperties>
</file>